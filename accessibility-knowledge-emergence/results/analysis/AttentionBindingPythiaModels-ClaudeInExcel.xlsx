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rishasalas/Repos/Research/how-models-think/accessibility-knowledge-emergence/data/"/>
    </mc:Choice>
  </mc:AlternateContent>
  <xr:revisionPtr revIDLastSave="0" documentId="13_ncr:9_{97B161AA-090F-5C43-BEBE-08375D11B887}" xr6:coauthVersionLast="47" xr6:coauthVersionMax="47" xr10:uidLastSave="{00000000-0000-0000-0000-000000000000}"/>
  <bookViews>
    <workbookView xWindow="0" yWindow="600" windowWidth="38400" windowHeight="19200" activeTab="6" xr2:uid="{81DF49B0-1BA3-D947-B774-10FF709E1CBE}"/>
  </bookViews>
  <sheets>
    <sheet name="Claude Log" sheetId="12" r:id="rId1"/>
    <sheet name="160m_attention_binding" sheetId="9" r:id="rId2"/>
    <sheet name="410m_attention_binding" sheetId="7" r:id="rId3"/>
    <sheet name="1b_attention_binding" sheetId="5" r:id="rId4"/>
    <sheet name="2.8b_attention_binding" sheetId="6" r:id="rId5"/>
    <sheet name="6.9b_attention_binding" sheetId="8" r:id="rId6"/>
    <sheet name="12b_attention_binding" sheetId="1" r:id="rId7"/>
    <sheet name="Cross-Model Summary" sheetId="10" r:id="rId8"/>
    <sheet name="Paper Alignment" sheetId="11" r:id="rId9"/>
  </sheets>
  <calcPr calcId="191029"/>
  <pivotCaches>
    <pivotCache cacheId="12" r:id="rId10"/>
    <pivotCache cacheId="16" r:id="rId11"/>
    <pivotCache cacheId="20" r:id="rId12"/>
    <pivotCache cacheId="24" r:id="rId13"/>
    <pivotCache cacheId="28" r:id="rId14"/>
    <pivotCache cacheId="3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1" l="1"/>
  <c r="B29" i="11"/>
  <c r="C28" i="11"/>
  <c r="B28" i="11"/>
  <c r="C27" i="11"/>
  <c r="B27" i="11"/>
  <c r="C26" i="11"/>
  <c r="B26" i="11"/>
  <c r="C25" i="11"/>
  <c r="B25" i="11"/>
  <c r="C24" i="11"/>
  <c r="B24" i="11"/>
  <c r="B20" i="11"/>
  <c r="B19" i="11"/>
  <c r="B18" i="11"/>
  <c r="B17" i="11"/>
  <c r="B16" i="11"/>
  <c r="B15" i="11"/>
  <c r="J11" i="11"/>
  <c r="J10" i="11"/>
  <c r="G10" i="11"/>
  <c r="J9" i="11"/>
  <c r="G9" i="11"/>
  <c r="J8" i="11"/>
  <c r="G8" i="11"/>
  <c r="J7" i="11"/>
  <c r="G7" i="11"/>
  <c r="J6" i="11"/>
  <c r="G6" i="11"/>
  <c r="M45" i="10"/>
  <c r="L45" i="10"/>
  <c r="M44" i="10"/>
  <c r="L44" i="10"/>
  <c r="M43" i="10"/>
  <c r="L43" i="10"/>
  <c r="M42" i="10"/>
  <c r="L42" i="10"/>
  <c r="M41" i="10"/>
  <c r="L41" i="10"/>
  <c r="M40" i="10"/>
  <c r="L40" i="10"/>
  <c r="N37" i="10"/>
  <c r="M37" i="10"/>
  <c r="L37" i="10"/>
  <c r="N36" i="10"/>
  <c r="M36" i="10"/>
  <c r="L36" i="10"/>
  <c r="N35" i="10"/>
  <c r="M35" i="10"/>
  <c r="L35" i="10"/>
  <c r="N34" i="10"/>
  <c r="M34" i="10"/>
  <c r="L34" i="10"/>
  <c r="N33" i="10"/>
  <c r="M33" i="10"/>
  <c r="L33" i="10"/>
  <c r="N32" i="10"/>
  <c r="M32" i="10"/>
  <c r="L32" i="10"/>
  <c r="K37" i="10"/>
  <c r="J37" i="10"/>
  <c r="I37" i="10"/>
  <c r="H37" i="10"/>
  <c r="G37" i="10"/>
  <c r="K36" i="10"/>
  <c r="J36" i="10"/>
  <c r="I36" i="10"/>
  <c r="H36" i="10"/>
  <c r="G36" i="10"/>
  <c r="K35" i="10"/>
  <c r="J35" i="10"/>
  <c r="I35" i="10"/>
  <c r="H35" i="10"/>
  <c r="G35" i="10"/>
  <c r="K34" i="10"/>
  <c r="J34" i="10"/>
  <c r="I34" i="10"/>
  <c r="H34" i="10"/>
  <c r="G34" i="10"/>
  <c r="K33" i="10"/>
  <c r="J33" i="10"/>
  <c r="I33" i="10"/>
  <c r="H33" i="10"/>
  <c r="G33" i="10"/>
  <c r="K32" i="10"/>
  <c r="J32" i="10"/>
  <c r="I32" i="10"/>
  <c r="H32" i="10"/>
  <c r="G32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D72" i="10"/>
  <c r="C72" i="10"/>
  <c r="B72" i="10"/>
  <c r="D71" i="10"/>
  <c r="C71" i="10"/>
  <c r="B71" i="10"/>
  <c r="D70" i="10"/>
  <c r="C70" i="10"/>
  <c r="B70" i="10"/>
  <c r="D69" i="10"/>
  <c r="C69" i="10"/>
  <c r="B69" i="10"/>
  <c r="D68" i="10"/>
  <c r="C68" i="10"/>
  <c r="B68" i="10"/>
  <c r="D67" i="10"/>
  <c r="C67" i="10"/>
  <c r="B67" i="10"/>
  <c r="F46" i="10"/>
  <c r="F45" i="10"/>
  <c r="F44" i="10"/>
  <c r="F43" i="10"/>
  <c r="F42" i="10"/>
  <c r="F41" i="10"/>
  <c r="E37" i="10"/>
  <c r="D37" i="10"/>
  <c r="C37" i="10"/>
  <c r="E36" i="10"/>
  <c r="D36" i="10"/>
  <c r="C36" i="10"/>
  <c r="E35" i="10"/>
  <c r="D35" i="10"/>
  <c r="C35" i="10"/>
  <c r="E34" i="10"/>
  <c r="D34" i="10"/>
  <c r="C34" i="10"/>
  <c r="E33" i="10"/>
  <c r="D33" i="10"/>
  <c r="C33" i="10"/>
  <c r="E32" i="10"/>
  <c r="D32" i="10"/>
  <c r="C32" i="10"/>
  <c r="G28" i="10"/>
  <c r="G27" i="10"/>
  <c r="G26" i="10"/>
  <c r="G25" i="10"/>
  <c r="G24" i="10"/>
  <c r="G23" i="10"/>
  <c r="D19" i="10"/>
  <c r="D18" i="10"/>
  <c r="D17" i="10"/>
  <c r="D16" i="10"/>
  <c r="D15" i="10"/>
  <c r="D14" i="10"/>
  <c r="G10" i="10"/>
  <c r="E10" i="10"/>
  <c r="G9" i="10"/>
  <c r="E9" i="10"/>
  <c r="G8" i="10"/>
  <c r="E8" i="10"/>
  <c r="G7" i="10"/>
  <c r="E7" i="10"/>
  <c r="G6" i="10"/>
  <c r="E6" i="10"/>
  <c r="G5" i="10"/>
  <c r="E5" i="10"/>
</calcChain>
</file>

<file path=xl/sharedStrings.xml><?xml version="1.0" encoding="utf-8"?>
<sst xmlns="http://schemas.openxmlformats.org/spreadsheetml/2006/main" count="427" uniqueCount="264">
  <si>
    <t>layer</t>
  </si>
  <si>
    <t>head</t>
  </si>
  <si>
    <t>reader_to_screen</t>
  </si>
  <si>
    <t>Row Labels</t>
  </si>
  <si>
    <t>Grand Total</t>
  </si>
  <si>
    <t>Sum of head</t>
  </si>
  <si>
    <t>Cross-Model Attention Binding Analysis — Pythia Family</t>
  </si>
  <si>
    <t>1. Summary Statistics</t>
  </si>
  <si>
    <t>Model</t>
  </si>
  <si>
    <t>Parameters</t>
  </si>
  <si>
    <t>Layers</t>
  </si>
  <si>
    <t>Heads/Layer</t>
  </si>
  <si>
    <t>Total Possible</t>
  </si>
  <si>
    <t>Active Heads</t>
  </si>
  <si>
    <t>% Active</t>
  </si>
  <si>
    <t>Mean Score</t>
  </si>
  <si>
    <t>Max Score</t>
  </si>
  <si>
    <t>Heads &gt; 0.9</t>
  </si>
  <si>
    <t>Pythia-160M</t>
  </si>
  <si>
    <t>160M</t>
  </si>
  <si>
    <t>Pythia-410M</t>
  </si>
  <si>
    <t>410M</t>
  </si>
  <si>
    <t>Pythia-1B</t>
  </si>
  <si>
    <t>1B</t>
  </si>
  <si>
    <t>Pythia-2.8B</t>
  </si>
  <si>
    <t>2.8B</t>
  </si>
  <si>
    <t>Pythia-6.9B</t>
  </si>
  <si>
    <t>6.9B</t>
  </si>
  <si>
    <t>Pythia-12B</t>
  </si>
  <si>
    <t>12B</t>
  </si>
  <si>
    <t>2. Layer Concentration — Where Does Binding Occur?</t>
  </si>
  <si>
    <t>First 25% Layers</t>
  </si>
  <si>
    <t>Heads in Q1</t>
  </si>
  <si>
    <t>% in Q1</t>
  </si>
  <si>
    <t>Middle 50% Layers</t>
  </si>
  <si>
    <t>Heads in Mid</t>
  </si>
  <si>
    <t>Last 25% Layers</t>
  </si>
  <si>
    <t>Heads in Q4</t>
  </si>
  <si>
    <t>L0–L2</t>
  </si>
  <si>
    <t>L3–L8</t>
  </si>
  <si>
    <t>L9–L11</t>
  </si>
  <si>
    <t>L0–L5</t>
  </si>
  <si>
    <t>L6–L17</t>
  </si>
  <si>
    <t>L18–L23</t>
  </si>
  <si>
    <t>L0–L3</t>
  </si>
  <si>
    <t>L4–L11</t>
  </si>
  <si>
    <t>L12–L15</t>
  </si>
  <si>
    <t>L0–L7</t>
  </si>
  <si>
    <t>L8–L23</t>
  </si>
  <si>
    <t>L24–L31</t>
  </si>
  <si>
    <t>L0–L8</t>
  </si>
  <si>
    <t>L9–L26</t>
  </si>
  <si>
    <t>L27–L35</t>
  </si>
  <si>
    <t>3. Average Binding Score by Relative Depth (Quintiles)</t>
  </si>
  <si>
    <t>0–20%</t>
  </si>
  <si>
    <t>20–40%</t>
  </si>
  <si>
    <t>40–60%</t>
  </si>
  <si>
    <t>60–80%</t>
  </si>
  <si>
    <t>80–100%</t>
  </si>
  <si>
    <t>Overall Mean</t>
  </si>
  <si>
    <t>4. Scaling Trends — Sparsity vs. Model Size</t>
  </si>
  <si>
    <t>Params (M)</t>
  </si>
  <si>
    <t>% Active Heads</t>
  </si>
  <si>
    <t>% Heads &gt; 0.9</t>
  </si>
  <si>
    <t>% in First 25% Layers</t>
  </si>
  <si>
    <t>5. Late-Layer Resurgence (Last 10% of Layers)</t>
  </si>
  <si>
    <t>Late Entries</t>
  </si>
  <si>
    <t>Avg Late Score</t>
  </si>
  <si>
    <t>Top Late Head</t>
  </si>
  <si>
    <t>Top Late Score</t>
  </si>
  <si>
    <t>Late % of Total</t>
  </si>
  <si>
    <t>L11 H8</t>
  </si>
  <si>
    <t>L22 H2</t>
  </si>
  <si>
    <t>L15 H5</t>
  </si>
  <si>
    <t>L29 H7</t>
  </si>
  <si>
    <t>L30 H29</t>
  </si>
  <si>
    <t>L33 H16</t>
  </si>
  <si>
    <t>6. Layer Quarter Distribution (% of Active Heads)</t>
  </si>
  <si>
    <t>First 25% (Early)</t>
  </si>
  <si>
    <t>Middle 50%</t>
  </si>
  <si>
    <t>Last 25% (Late)</t>
  </si>
  <si>
    <t>7. Strong Binding Heads Catalog (Score &gt; 0.9)</t>
  </si>
  <si>
    <t>Layer</t>
  </si>
  <si>
    <t>Head</t>
  </si>
  <si>
    <t>Score</t>
  </si>
  <si>
    <t>Relative Depth</t>
  </si>
  <si>
    <t>Strong Heads (&gt;0.9): Score by Model &amp; Relative Depth</t>
  </si>
  <si>
    <t>0% (Layer 0)</t>
  </si>
  <si>
    <t>3% (Layer 1)</t>
  </si>
  <si>
    <t>6–10% (Layer 2–3)</t>
  </si>
  <si>
    <t>13–20%</t>
  </si>
  <si>
    <t>27% (Early-Mid)</t>
  </si>
  <si>
    <t>90–94% (Late)</t>
  </si>
  <si>
    <t>100% (Final Layer)</t>
  </si>
  <si>
    <t>Total Heads</t>
  </si>
  <si>
    <t>Active Binding Heads</t>
  </si>
  <si>
    <t>Inactive Heads</t>
  </si>
  <si>
    <t>% Inactive</t>
  </si>
  <si>
    <t>Other Heads</t>
  </si>
  <si>
    <t>% of Heads Active in Binding</t>
  </si>
  <si>
    <t>Paper Alignment — Experiment 4: Attention Binding ("reader" → "screen")</t>
  </si>
  <si>
    <t>Salas (2026), “Sustained Deep-Network Binding Is a Correlate of Accessibility Concept Emergence”  |  Thresholds: Strong ≥ 0.5, Moderate 0.2–0.5, Included &gt; 0.1</t>
  </si>
  <si>
    <t>1. Replication of Paper Table (p.14) — with 12B Extension</t>
  </si>
  <si>
    <t>Total &gt; 0.1</t>
  </si>
  <si>
    <t>Strong (≥ 0.5)</t>
  </si>
  <si>
    <t>Paper Strong</t>
  </si>
  <si>
    <t>Match?</t>
  </si>
  <si>
    <t>Early (L0–L3)</t>
  </si>
  <si>
    <t>Last Strong Layer</t>
  </si>
  <si>
    <t>Binding Depth %</t>
  </si>
  <si>
    <t>Top Score</t>
  </si>
  <si>
    <t>Status</t>
  </si>
  <si>
    <t>L11</t>
  </si>
  <si>
    <t>Published</t>
  </si>
  <si>
    <t>L9</t>
  </si>
  <si>
    <t>L6</t>
  </si>
  <si>
    <t>L29</t>
  </si>
  <si>
    <t>L30</t>
  </si>
  <si>
    <t>—</t>
  </si>
  <si>
    <t>NEW</t>
  </si>
  <si>
    <t>L34</t>
  </si>
  <si>
    <t>Addendum (12B)</t>
  </si>
  <si>
    <t>2. Core Claim Validation: Binding Depth Tracks Behavioral Emergence</t>
  </si>
  <si>
    <t>Defines "screen reader"?</t>
  </si>
  <si>
    <t>Perplexity Prefers Correct?</t>
  </si>
  <si>
    <t>Sustained Late Binding?</t>
  </si>
  <si>
    <t>Interpretation</t>
  </si>
  <si>
    <t>✘ Incorrect</t>
  </si>
  <si>
    <t>✘ Prefers wrong</t>
  </si>
  <si>
    <t>Final layer only*</t>
  </si>
  <si>
    <t>100% depth is misleading — L11 is the only late layer</t>
  </si>
  <si>
    <t>✘ Drops off at L9</t>
  </si>
  <si>
    <t>Binding fades before mid-network</t>
  </si>
  <si>
    <t>≈ Partial</t>
  </si>
  <si>
    <t>✓ Prefers correct (2.2×)</t>
  </si>
  <si>
    <t>✘ Drops off at L6</t>
  </si>
  <si>
    <t>Recognition without generation — perplexity flip precedes behavior</t>
  </si>
  <si>
    <t>✓ Correct</t>
  </si>
  <si>
    <t>✓ Prefers correct (4.0×)</t>
  </si>
  <si>
    <t>✓ Persists to L29</t>
  </si>
  <si>
    <t>EMERGENCE THRESHOLD — all three signals align</t>
  </si>
  <si>
    <t>≈ Partial (less precise)</t>
  </si>
  <si>
    <t>✓ Prefers correct (3.0×)</t>
  </si>
  <si>
    <t>✓ Persists to L30</t>
  </si>
  <si>
    <t>Non-monotonic regression — more verbose, less precise</t>
  </si>
  <si>
    <t>TBD (Addendum)</t>
  </si>
  <si>
    <t>✓ Persists to L34</t>
  </si>
  <si>
    <t>Deepest binding yet — 97% depth, consistent with ≥2.8B pattern</t>
  </si>
  <si>
    <t>3. Binding Depth vs. Emergence (Figure 1 Replication + 12B)</t>
  </si>
  <si>
    <t>Strong Heads (≥ 0.5)</t>
  </si>
  <si>
    <t>4. 12B Addendum: What the New Data Shows</t>
  </si>
  <si>
    <t>Pythia-12B: 36 layers, 40 heads/layer, 1,440 total attention heads  |  36 strong binding heads (≥ 0.5), last strong at L34 (97% depth)</t>
  </si>
  <si>
    <t>Head(s)</t>
  </si>
  <si>
    <t>Tier</t>
  </si>
  <si>
    <t>Depth Zone</t>
  </si>
  <si>
    <t>H30, H31</t>
  </si>
  <si>
    <t>0.50–0.52</t>
  </si>
  <si>
    <t>Strong</t>
  </si>
  <si>
    <t>H15, H26, H38, H24, H14, H37, H35</t>
  </si>
  <si>
    <t>0.54–0.99</t>
  </si>
  <si>
    <t>Strong–V.Strong</t>
  </si>
  <si>
    <t>H22, H32, H7, H19, H14, H4, H12, H18, H16, H0</t>
  </si>
  <si>
    <t>0.59–0.97</t>
  </si>
  <si>
    <t>H30, H7, H21, H8, H2</t>
  </si>
  <si>
    <t>0.52–0.91</t>
  </si>
  <si>
    <t>24 of 36 strong heads in L0–L3 (67%)</t>
  </si>
  <si>
    <t>H28</t>
  </si>
  <si>
    <t>Mid-network</t>
  </si>
  <si>
    <t>7–19</t>
  </si>
  <si>
    <t>H31, H34, H13, H7, H15</t>
  </si>
  <si>
    <t>0.54–0.82</t>
  </si>
  <si>
    <t>Mid-network (sparse)</t>
  </si>
  <si>
    <t>6 heads in L5–L19 — binding persists but thins</t>
  </si>
  <si>
    <t>H0</t>
  </si>
  <si>
    <t>Late resurgence</t>
  </si>
  <si>
    <t>H16, H0, H32, H33</t>
  </si>
  <si>
    <t>0.56–0.88</t>
  </si>
  <si>
    <t>Late cluster (4 heads)</t>
  </si>
  <si>
    <t>H12</t>
  </si>
  <si>
    <t>Deepest binding head (L34/35)</t>
  </si>
  <si>
    <t>5. 12B Addendum Implications for Paper Claims</t>
  </si>
  <si>
    <t>Paper Claim</t>
  </si>
  <si>
    <t>12B Result</t>
  </si>
  <si>
    <t>Verdict</t>
  </si>
  <si>
    <t>Notes</t>
  </si>
  <si>
    <t>"Sustained late-layer binding is a correlate of emergence"</t>
  </si>
  <si>
    <t>Strong binding persists to L34 (97% depth)</t>
  </si>
  <si>
    <t>✓ Confirmed</t>
  </si>
  <si>
    <t>Consistent with all models ≥ 2.8B showing ≥94% depth</t>
  </si>
  <si>
    <t>"Early binding is not representational; late binding is"</t>
  </si>
  <si>
    <t>24/36 strong heads in L0–L3, but 6 strong heads in L30–L34</t>
  </si>
  <si>
    <t>Same early-dominant + late-persistent pattern as 2.8B/6.9B</t>
  </si>
  <si>
    <t>"Strong head count scales with model size"</t>
  </si>
  <si>
    <t>36 strong heads (vs 37 at 6.9B, 25 at 2.8B)</t>
  </si>
  <si>
    <t>≈ Plateaus</t>
  </si>
  <si>
    <t>12B has fewer strong heads than 6.9B despite 10× more total heads — suggests saturation</t>
  </si>
  <si>
    <t>"3.6× jump at 2.8B emergence threshold"</t>
  </si>
  <si>
    <t>12B total &gt; 0.1 = 119 (vs 123 at 6.9B, 101 at 2.8B)</t>
  </si>
  <si>
    <t>✓ Plateaus</t>
  </si>
  <si>
    <t>Total active heads stabilize post-threshold; capacity grows but binding budget is fixed</t>
  </si>
  <si>
    <t>Late-layer resurgence (not in paper)</t>
  </si>
  <si>
    <t>L33 cluster: 4 strong heads (H16=0.88, H0=0.76, H32=0.59, H33=0.56)</t>
  </si>
  <si>
    <t>NEW finding</t>
  </si>
  <si>
    <t>Strongest late-layer cluster of any model — possible secondary binding circuit</t>
  </si>
  <si>
    <t>Binding sparsity (not in paper)</t>
  </si>
  <si>
    <t>8.3% of heads active (vs 31.9% at 160M)</t>
  </si>
  <si>
    <t>Increasing specialization — fewer heads do binding work as capacity grows</t>
  </si>
  <si>
    <t>Turn #</t>
  </si>
  <si>
    <t>Date</t>
  </si>
  <si>
    <t>User Request</t>
  </si>
  <si>
    <t>Action Taken</t>
  </si>
  <si>
    <t>Details</t>
  </si>
  <si>
    <t>Outcome</t>
  </si>
  <si>
    <t>Analyze attention patterns in the 12b_attention_binding table</t>
  </si>
  <si>
    <t>Read and analyzed 12B attention data (119 entries across layers/heads with reader_to_screen scores)</t>
  </si>
  <si>
    <t>Identified front-loaded binding (65-82% in first 25% of layers), 7 heads &gt;0.9, late-layer resurgence at L33 with 7 active heads. Sheet2 contained a pivot of sum-of-layers by head.</t>
  </si>
  <si>
    <t>Delivered narrative analysis of 12B model attention binding patterns</t>
  </si>
  <si>
    <t>Added same data for all Pythia models; requested cross-model analysis</t>
  </si>
  <si>
    <t>Read all 6 model sheets (160M–12B), computed cross-model statistics in Python</t>
  </si>
  <si>
    <t>Computed: summary stats, layer concentration (Q1/Mid/Q4), depth quintile avg scores, scaling trends (% active declining 31.9%→8.3%), late-layer resurgence, strong heads catalog. All 6 models compared.</t>
  </si>
  <si>
    <t>Delivered comprehensive cross-model analysis in chat</t>
  </si>
  <si>
    <t>Build summary tables and charts in the spreadsheet</t>
  </si>
  <si>
    <t>Created 'Cross-Model Summary' sheet with 7 data tables and 5 charts</t>
  </si>
  <si>
    <t>Tables: summary stats (A4:J10), layer concentration (A13:H19), depth quintiles (A22:G28), scaling trends (A31:E37), late-layer resurgence (A40:F46), layer distribution % (A66:D72), strong heads catalog (A94:E128). Charts: active heads vs size, avg score by depth, layer distribution stacked bar, late-layer strength, strong heads scatter.</t>
  </si>
  <si>
    <t>Cross-Model Summary sheet complete with all visuals</t>
  </si>
  <si>
    <t>Elaborate on '% of Heads Active in Binding vs. Model Size' chart</t>
  </si>
  <si>
    <t>Explained the declining sparsity pattern and specialization through scale</t>
  </si>
  <si>
    <t>Key insight: absolute active head counts plateau (~100-120 for ≥2.8B) while total capacity grows, suggesting a fixed 'binding budget.' Smaller models recruit ~1/3 of heads; larger models use &lt;1/12.</t>
  </si>
  <si>
    <t>Explanation delivered in chat</t>
  </si>
  <si>
    <t>Refine the active heads chart for clarity</t>
  </si>
  <si>
    <t>Replaced single line chart with two new charts: stacked bar (active vs inactive heads) and clean % active line chart</t>
  </si>
  <si>
    <t>Stacked bar shows blue (active) vs gray (other) heads — flat blue vs growing gray tells the story visually. Line chart shows 31.9%→8.3% decline with labeled data points, axis 0-35%.</t>
  </si>
  <si>
    <t>Two new charts anchored at A48 and F48 on Cross-Model Summary</t>
  </si>
  <si>
    <t>Elaborate on Late-Layer Binding Strength chart</t>
  </si>
  <si>
    <t>Explained the U-shaped binding architecture pattern across models</t>
  </si>
  <si>
    <t>160M strongest late-layer (avg 0.801, includes perfect 1.0 head). 12B shows genuine resurgence (11 entries, avg 0.431, L33 cluster). 1B weakest (1 head, 0.123). Discussed implications for ablation studies.</t>
  </si>
  <si>
    <t>Can you read a PDF? Uploaded published paper (Salas 2026)</t>
  </si>
  <si>
    <t>Read full 34-page paper using pdfplumber; mapped spreadsheet data to paper's Experiment 4</t>
  </si>
  <si>
    <t>Paper: 'Sustained Deep-Network Binding Is a Correlate of Accessibility Concept Emergence.' Core claim: sustained late-layer binding (not just early) differentiates models that can/can't define accessibility concepts. Data uses ≥0.5 strong threshold, ≥0.1 inclusion. 2.8B is emergence threshold. Your data = Experiment 4 raw attention weights.</t>
  </si>
  <si>
    <t>Identified exact alignment: your spreadsheet is Experiment 4 data. 12B extends beyond published results (160M–6.9B).</t>
  </si>
  <si>
    <t>Create a new sheet aligning data with the paper for 12B addendum</t>
  </si>
  <si>
    <t>Created 'Paper Alignment' sheet with 5 sections, 1 chart</t>
  </si>
  <si>
    <t>Sec 1: Replication table (all 5 published models match ✓). Sec 2: Core claim validation with behavioral/perplexity/binding signals color-coded. Sec 3: Binding depth chart replicating Fig.1 + 12B. Sec 4: 12B strong heads detail by layer (L33 cluster highlighted). Sec 5: Implications table — 2 confirmed, 2 plateau, 2 new findings.</t>
  </si>
  <si>
    <t>Paper Alignment sheet complete. 12B confirms sustained binding to L34 (97% depth).</t>
  </si>
  <si>
    <t>Discussion: MLP capacity explains binding saturation</t>
  </si>
  <si>
    <t>Discussed in chat (no spreadsheet changes)</t>
  </si>
  <si>
    <t>User noted larger MLPs (d_mlp scaling from 3,072 at 160M to 20,480 at 12B) explain why binding head count plateaus. MLPs carry representational weight; attention heads route. Once routing is solved at 2.8B, more MLP capacity helps other tasks, not binding.</t>
  </si>
  <si>
    <t>Agreed this supports perplexity flip interpretation and strengthens addendum narrative</t>
  </si>
  <si>
    <t>Does the ≥0.9 threshold provide a new claim or support existing?</t>
  </si>
  <si>
    <t>Analyzed in chat (no spreadsheet changes)</t>
  </si>
  <si>
    <t>Conclusion: ≥0.9 supports but does not extend the paper's ≥0.5 claim. The tighter threshold shows where strongest specialization occurs (L1–L3 at 3–10% depth for ≥1B models) but doesn't constitute an independent finding. One notable outlier: 2.8B L29 H7 = 0.9019.</t>
  </si>
  <si>
    <t>Recommended keeping paper's ≥0.5 threshold for addendum; ≥0.9 is supplementary</t>
  </si>
  <si>
    <t>Agreed to use only data supporting existing claim; avoid diluting addendum</t>
  </si>
  <si>
    <t>Editorial discussion (no spreadsheet changes)</t>
  </si>
  <si>
    <t>Strongest addendum additions: (1) replication table, (2) saturation observation (37→36 strong heads), (3) L33 cluster (1 sentence). Full data available on GitHub for transparency.</t>
  </si>
  <si>
    <t>Agreed on focused addendum strategy</t>
  </si>
  <si>
    <t>Are Excel conversations saved like Claude desktop?</t>
  </si>
  <si>
    <t>Created Claude Log sheet; backfilled all 12 turns</t>
  </si>
  <si>
    <t>Excel add-in conversations are NOT persisted — lost on close/refresh. Claude Log sheet serves as durable in-workbook record. Also discussed arXiv endorsement strategies (Turn 9.5): TransformerLens community, EleutherAI Discord, Alignment Forum, MATS alumni, authors of cited papers.</t>
  </si>
  <si>
    <t>Claude Log created as first tab with full conversation history</t>
  </si>
  <si>
    <t>Thanked for analysis; confirmed session complete</t>
  </si>
  <si>
    <t>No changes</t>
  </si>
  <si>
    <t>Session covered: cross-model attention binding analysis across 6 Pythia models, paper alignment sheet for addendum, editorial guidance on threshold selection, arXiv endorsement strategies, MLP-as-bottleneck discussion.</t>
  </si>
  <si>
    <t>Workbook contains: 6 raw data sheets, Cross-Model Summary (7 tables, 6 charts), Paper Alignment (5 sections, 1 chart), Claude Log (13 turns). All data aligned to paper's ≥0.5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</si>
</sst>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"/>
  </numFmts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1B2A4A"/>
      <name val="Aptos Narrow"/>
      <family val="2"/>
      <scheme val="minor"/>
    </font>
    <font>
      <b/>
      <sz val="12"/>
      <color rgb="FF1B2A4A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0"/>
      <color rgb="FF555555"/>
      <name val="Aptos Narrow"/>
      <family val="2"/>
      <scheme val="minor"/>
    </font>
    <font>
      <i/>
      <sz val="12"/>
      <color rgb="FF555555"/>
      <name val="Aptos Narrow"/>
      <family val="2"/>
      <scheme val="minor"/>
    </font>
    <font>
      <sz val="12"/>
      <color rgb="FF999999"/>
      <name val="Aptos Narrow"/>
      <family val="2"/>
      <scheme val="minor"/>
    </font>
    <font>
      <sz val="12"/>
      <color rgb="FFD4760A"/>
      <name val="Aptos Narrow"/>
      <family val="2"/>
      <scheme val="minor"/>
    </font>
    <font>
      <b/>
      <sz val="12"/>
      <color rgb="FFD4760A"/>
      <name val="Aptos Narrow"/>
      <family val="2"/>
      <scheme val="minor"/>
    </font>
    <font>
      <i/>
      <sz val="12"/>
      <color rgb="FFD4760A"/>
      <name val="Aptos Narrow"/>
      <family val="2"/>
      <scheme val="minor"/>
    </font>
    <font>
      <b/>
      <i/>
      <sz val="12"/>
      <color rgb="FFD4760A"/>
      <name val="Aptos Narrow"/>
      <family val="2"/>
      <scheme val="minor"/>
    </font>
    <font>
      <sz val="12"/>
      <color rgb="FFC62828"/>
      <name val="Aptos Narrow"/>
      <family val="2"/>
      <scheme val="minor"/>
    </font>
    <font>
      <sz val="12"/>
      <color rgb="FFE65100"/>
      <name val="Aptos Narrow"/>
      <family val="2"/>
      <scheme val="minor"/>
    </font>
    <font>
      <sz val="12"/>
      <color rgb="FF2E7D32"/>
      <name val="Aptos Narrow"/>
      <family val="2"/>
      <scheme val="minor"/>
    </font>
    <font>
      <b/>
      <sz val="12"/>
      <color rgb="FF1B5E20"/>
      <name val="Aptos Narrow"/>
      <family val="2"/>
      <scheme val="minor"/>
    </font>
    <font>
      <i/>
      <sz val="10"/>
      <color rgb="FFD4760A"/>
      <name val="Aptos Narrow"/>
      <family val="2"/>
      <scheme val="minor"/>
    </font>
    <font>
      <b/>
      <i/>
      <sz val="12"/>
      <color rgb="FF555555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2E7D32"/>
      <name val="Aptos Narrow"/>
      <family val="2"/>
      <scheme val="minor"/>
    </font>
    <font>
      <b/>
      <sz val="12"/>
      <color rgb="FFE651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2A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3A5A8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80808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80808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80808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08080"/>
      </left>
      <right style="thin">
        <color rgb="FFD0D0D0"/>
      </right>
      <top style="thin">
        <color rgb="FFD0D0D0"/>
      </top>
      <bottom style="thin">
        <color rgb="FF80808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80808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808080"/>
      </right>
      <top style="thin">
        <color rgb="FFD0D0D0"/>
      </top>
      <bottom style="thin">
        <color rgb="FF808080"/>
      </bottom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 style="thin">
        <color auto="1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20" fillId="3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4" borderId="10" xfId="0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20" fillId="33" borderId="14" xfId="0" applyFont="1" applyFill="1" applyBorder="1" applyAlignment="1">
      <alignment horizontal="center"/>
    </xf>
    <xf numFmtId="0" fontId="16" fillId="34" borderId="15" xfId="0" applyFont="1" applyFill="1" applyBorder="1"/>
    <xf numFmtId="0" fontId="16" fillId="0" borderId="15" xfId="0" applyFont="1" applyBorder="1"/>
    <xf numFmtId="0" fontId="20" fillId="33" borderId="16" xfId="0" applyFont="1" applyFill="1" applyBorder="1" applyAlignment="1">
      <alignment horizontal="center"/>
    </xf>
    <xf numFmtId="0" fontId="16" fillId="34" borderId="17" xfId="0" applyFont="1" applyFill="1" applyBorder="1"/>
    <xf numFmtId="0" fontId="16" fillId="0" borderId="17" xfId="0" applyFont="1" applyBorder="1"/>
    <xf numFmtId="0" fontId="16" fillId="0" borderId="18" xfId="0" applyFont="1" applyBorder="1"/>
    <xf numFmtId="0" fontId="0" fillId="0" borderId="19" xfId="0" applyBorder="1" applyAlignment="1">
      <alignment horizontal="center"/>
    </xf>
    <xf numFmtId="0" fontId="20" fillId="33" borderId="20" xfId="0" applyFont="1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34" borderId="21" xfId="0" applyNumberFormat="1" applyFill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3" fontId="0" fillId="34" borderId="10" xfId="0" applyNumberForma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164" fontId="0" fillId="34" borderId="21" xfId="0" applyNumberForma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35" borderId="10" xfId="0" applyFill="1" applyBorder="1" applyAlignment="1">
      <alignment horizontal="center"/>
    </xf>
    <xf numFmtId="166" fontId="0" fillId="35" borderId="10" xfId="0" applyNumberFormat="1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166" fontId="0" fillId="35" borderId="12" xfId="0" applyNumberFormat="1" applyFill="1" applyBorder="1" applyAlignment="1">
      <alignment horizontal="center"/>
    </xf>
    <xf numFmtId="0" fontId="16" fillId="35" borderId="17" xfId="0" applyFont="1" applyFill="1" applyBorder="1"/>
    <xf numFmtId="0" fontId="16" fillId="35" borderId="18" xfId="0" applyFont="1" applyFill="1" applyBorder="1"/>
    <xf numFmtId="164" fontId="0" fillId="35" borderId="21" xfId="0" applyNumberFormat="1" applyFill="1" applyBorder="1" applyAlignment="1">
      <alignment horizontal="center"/>
    </xf>
    <xf numFmtId="164" fontId="0" fillId="35" borderId="22" xfId="0" applyNumberFormat="1" applyFill="1" applyBorder="1" applyAlignment="1">
      <alignment horizontal="center"/>
    </xf>
    <xf numFmtId="0" fontId="20" fillId="33" borderId="0" xfId="0" applyFont="1" applyFill="1" applyBorder="1" applyAlignment="1">
      <alignment horizontal="center"/>
    </xf>
    <xf numFmtId="0" fontId="20" fillId="33" borderId="2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20" fillId="33" borderId="25" xfId="0" applyFont="1" applyFill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4" fontId="0" fillId="0" borderId="0" xfId="0" applyNumberFormat="1"/>
    <xf numFmtId="0" fontId="16" fillId="0" borderId="0" xfId="0" applyFont="1" applyAlignment="1">
      <alignment horizontal="center"/>
    </xf>
    <xf numFmtId="0" fontId="21" fillId="0" borderId="0" xfId="0" applyFont="1"/>
    <xf numFmtId="0" fontId="32" fillId="0" borderId="0" xfId="0" applyFont="1"/>
    <xf numFmtId="0" fontId="16" fillId="35" borderId="10" xfId="0" applyFont="1" applyFill="1" applyBorder="1" applyAlignment="1">
      <alignment horizontal="center"/>
    </xf>
    <xf numFmtId="9" fontId="0" fillId="34" borderId="10" xfId="0" applyNumberFormat="1" applyFill="1" applyBorder="1" applyAlignment="1">
      <alignment horizontal="center"/>
    </xf>
    <xf numFmtId="166" fontId="0" fillId="34" borderId="10" xfId="0" applyNumberFormat="1" applyFill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23" fillId="37" borderId="11" xfId="0" applyFont="1" applyFill="1" applyBorder="1" applyAlignment="1">
      <alignment horizontal="center"/>
    </xf>
    <xf numFmtId="0" fontId="25" fillId="37" borderId="11" xfId="0" applyFont="1" applyFill="1" applyBorder="1" applyAlignment="1">
      <alignment horizontal="center"/>
    </xf>
    <xf numFmtId="9" fontId="0" fillId="37" borderId="11" xfId="0" applyNumberFormat="1" applyFill="1" applyBorder="1" applyAlignment="1">
      <alignment horizontal="center"/>
    </xf>
    <xf numFmtId="166" fontId="0" fillId="37" borderId="11" xfId="0" applyNumberFormat="1" applyFill="1" applyBorder="1" applyAlignment="1">
      <alignment horizontal="center"/>
    </xf>
    <xf numFmtId="0" fontId="20" fillId="36" borderId="13" xfId="0" applyFont="1" applyFill="1" applyBorder="1" applyAlignment="1">
      <alignment horizontal="center"/>
    </xf>
    <xf numFmtId="0" fontId="16" fillId="37" borderId="24" xfId="0" applyFont="1" applyFill="1" applyBorder="1"/>
    <xf numFmtId="0" fontId="22" fillId="34" borderId="19" xfId="0" applyFont="1" applyFill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7" fillId="37" borderId="26" xfId="0" applyFont="1" applyFill="1" applyBorder="1" applyAlignment="1">
      <alignment horizontal="center"/>
    </xf>
    <xf numFmtId="9" fontId="25" fillId="0" borderId="11" xfId="0" applyNumberFormat="1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0" fillId="0" borderId="15" xfId="0" applyBorder="1"/>
    <xf numFmtId="0" fontId="25" fillId="0" borderId="24" xfId="0" applyFont="1" applyBorder="1"/>
    <xf numFmtId="0" fontId="25" fillId="0" borderId="26" xfId="0" applyFont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16" fillId="39" borderId="10" xfId="0" applyFont="1" applyFill="1" applyBorder="1" applyAlignment="1">
      <alignment horizontal="center"/>
    </xf>
    <xf numFmtId="0" fontId="33" fillId="40" borderId="10" xfId="0" applyFont="1" applyFill="1" applyBorder="1" applyAlignment="1">
      <alignment horizontal="center"/>
    </xf>
    <xf numFmtId="0" fontId="0" fillId="0" borderId="10" xfId="0" applyBorder="1"/>
    <xf numFmtId="0" fontId="0" fillId="37" borderId="10" xfId="0" applyFill="1" applyBorder="1" applyAlignment="1">
      <alignment horizontal="center"/>
    </xf>
    <xf numFmtId="166" fontId="0" fillId="37" borderId="10" xfId="0" applyNumberForma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39" borderId="15" xfId="0" applyFill="1" applyBorder="1" applyAlignment="1">
      <alignment horizontal="center"/>
    </xf>
    <xf numFmtId="0" fontId="0" fillId="40" borderId="15" xfId="0" applyFill="1" applyBorder="1"/>
    <xf numFmtId="0" fontId="0" fillId="37" borderId="15" xfId="0" applyFill="1" applyBorder="1" applyAlignment="1">
      <alignment horizontal="center"/>
    </xf>
    <xf numFmtId="0" fontId="0" fillId="37" borderId="24" xfId="0" applyFill="1" applyBorder="1" applyAlignment="1">
      <alignment horizontal="center"/>
    </xf>
    <xf numFmtId="0" fontId="0" fillId="39" borderId="19" xfId="0" applyFill="1" applyBorder="1" applyAlignment="1">
      <alignment horizontal="center"/>
    </xf>
    <xf numFmtId="0" fontId="0" fillId="0" borderId="19" xfId="0" applyBorder="1"/>
    <xf numFmtId="0" fontId="25" fillId="37" borderId="19" xfId="0" applyFont="1" applyFill="1" applyBorder="1" applyAlignment="1">
      <alignment horizontal="center"/>
    </xf>
    <xf numFmtId="0" fontId="25" fillId="37" borderId="26" xfId="0" applyFont="1" applyFill="1" applyBorder="1" applyAlignment="1">
      <alignment horizontal="center"/>
    </xf>
    <xf numFmtId="0" fontId="20" fillId="33" borderId="23" xfId="0" applyFont="1" applyFill="1" applyBorder="1" applyAlignment="1">
      <alignment wrapText="1"/>
    </xf>
    <xf numFmtId="0" fontId="20" fillId="33" borderId="13" xfId="0" applyFont="1" applyFill="1" applyBorder="1" applyAlignment="1">
      <alignment horizontal="center" wrapText="1"/>
    </xf>
    <xf numFmtId="0" fontId="20" fillId="33" borderId="25" xfId="0" applyFont="1" applyFill="1" applyBorder="1" applyAlignment="1">
      <alignment horizontal="center" wrapText="1"/>
    </xf>
    <xf numFmtId="0" fontId="34" fillId="34" borderId="15" xfId="0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35" fillId="39" borderId="10" xfId="0" applyFont="1" applyFill="1" applyBorder="1" applyAlignment="1">
      <alignment horizontal="center" wrapText="1"/>
    </xf>
    <xf numFmtId="0" fontId="0" fillId="34" borderId="19" xfId="0" applyFill="1" applyBorder="1" applyAlignment="1">
      <alignment wrapText="1"/>
    </xf>
    <xf numFmtId="0" fontId="34" fillId="0" borderId="15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9" xfId="0" applyBorder="1" applyAlignment="1">
      <alignment wrapText="1"/>
    </xf>
    <xf numFmtId="0" fontId="36" fillId="37" borderId="10" xfId="0" applyFont="1" applyFill="1" applyBorder="1" applyAlignment="1">
      <alignment horizontal="center" wrapText="1"/>
    </xf>
    <xf numFmtId="0" fontId="26" fillId="37" borderId="15" xfId="0" applyFont="1" applyFill="1" applyBorder="1" applyAlignment="1">
      <alignment wrapText="1"/>
    </xf>
    <xf numFmtId="0" fontId="0" fillId="37" borderId="10" xfId="0" applyFill="1" applyBorder="1" applyAlignment="1">
      <alignment wrapText="1"/>
    </xf>
    <xf numFmtId="0" fontId="25" fillId="37" borderId="10" xfId="0" applyFont="1" applyFill="1" applyBorder="1" applyAlignment="1">
      <alignment horizontal="center" wrapText="1"/>
    </xf>
    <xf numFmtId="0" fontId="25" fillId="37" borderId="19" xfId="0" applyFont="1" applyFill="1" applyBorder="1" applyAlignment="1">
      <alignment wrapText="1"/>
    </xf>
    <xf numFmtId="0" fontId="26" fillId="37" borderId="24" xfId="0" applyFont="1" applyFill="1" applyBorder="1" applyAlignment="1">
      <alignment wrapText="1"/>
    </xf>
    <xf numFmtId="0" fontId="0" fillId="37" borderId="11" xfId="0" applyFill="1" applyBorder="1" applyAlignment="1">
      <alignment wrapText="1"/>
    </xf>
    <xf numFmtId="0" fontId="25" fillId="37" borderId="11" xfId="0" applyFont="1" applyFill="1" applyBorder="1" applyAlignment="1">
      <alignment horizontal="center" wrapText="1"/>
    </xf>
    <xf numFmtId="0" fontId="25" fillId="37" borderId="26" xfId="0" applyFont="1" applyFill="1" applyBorder="1" applyAlignment="1">
      <alignment wrapText="1"/>
    </xf>
    <xf numFmtId="0" fontId="20" fillId="33" borderId="23" xfId="0" applyFont="1" applyFill="1" applyBorder="1" applyAlignment="1">
      <alignment horizontal="center" wrapText="1"/>
    </xf>
    <xf numFmtId="0" fontId="16" fillId="38" borderId="15" xfId="0" applyFont="1" applyFill="1" applyBorder="1" applyAlignment="1">
      <alignment wrapText="1"/>
    </xf>
    <xf numFmtId="9" fontId="0" fillId="38" borderId="10" xfId="0" applyNumberFormat="1" applyFill="1" applyBorder="1" applyAlignment="1">
      <alignment horizontal="center" wrapText="1"/>
    </xf>
    <xf numFmtId="0" fontId="28" fillId="38" borderId="10" xfId="0" applyFont="1" applyFill="1" applyBorder="1" applyAlignment="1">
      <alignment horizontal="center" wrapText="1"/>
    </xf>
    <xf numFmtId="0" fontId="29" fillId="38" borderId="10" xfId="0" applyFont="1" applyFill="1" applyBorder="1" applyAlignment="1">
      <alignment horizontal="center" wrapText="1"/>
    </xf>
    <xf numFmtId="0" fontId="22" fillId="38" borderId="19" xfId="0" applyFont="1" applyFill="1" applyBorder="1" applyAlignment="1">
      <alignment wrapText="1"/>
    </xf>
    <xf numFmtId="0" fontId="22" fillId="38" borderId="19" xfId="0" applyFont="1" applyFill="1" applyBorder="1" applyAlignment="1">
      <alignment horizontal="center" wrapText="1"/>
    </xf>
    <xf numFmtId="0" fontId="16" fillId="37" borderId="15" xfId="0" applyFont="1" applyFill="1" applyBorder="1" applyAlignment="1">
      <alignment wrapText="1"/>
    </xf>
    <xf numFmtId="9" fontId="0" fillId="37" borderId="10" xfId="0" applyNumberFormat="1" applyFill="1" applyBorder="1" applyAlignment="1">
      <alignment horizontal="center" wrapText="1"/>
    </xf>
    <xf numFmtId="0" fontId="29" fillId="37" borderId="10" xfId="0" applyFont="1" applyFill="1" applyBorder="1" applyAlignment="1">
      <alignment horizontal="center" wrapText="1"/>
    </xf>
    <xf numFmtId="0" fontId="30" fillId="37" borderId="10" xfId="0" applyFont="1" applyFill="1" applyBorder="1" applyAlignment="1">
      <alignment horizontal="center" wrapText="1"/>
    </xf>
    <xf numFmtId="0" fontId="28" fillId="37" borderId="10" xfId="0" applyFont="1" applyFill="1" applyBorder="1" applyAlignment="1">
      <alignment horizontal="center" wrapText="1"/>
    </xf>
    <xf numFmtId="0" fontId="22" fillId="37" borderId="19" xfId="0" applyFont="1" applyFill="1" applyBorder="1" applyAlignment="1">
      <alignment wrapText="1"/>
    </xf>
    <xf numFmtId="0" fontId="16" fillId="39" borderId="15" xfId="0" applyFont="1" applyFill="1" applyBorder="1" applyAlignment="1">
      <alignment wrapText="1"/>
    </xf>
    <xf numFmtId="9" fontId="0" fillId="39" borderId="10" xfId="0" applyNumberFormat="1" applyFill="1" applyBorder="1" applyAlignment="1">
      <alignment horizontal="center" wrapText="1"/>
    </xf>
    <xf numFmtId="0" fontId="30" fillId="39" borderId="10" xfId="0" applyFont="1" applyFill="1" applyBorder="1" applyAlignment="1">
      <alignment horizontal="center" wrapText="1"/>
    </xf>
    <xf numFmtId="0" fontId="31" fillId="39" borderId="19" xfId="0" applyFont="1" applyFill="1" applyBorder="1" applyAlignment="1">
      <alignment horizontal="center" wrapText="1"/>
    </xf>
    <xf numFmtId="0" fontId="29" fillId="39" borderId="10" xfId="0" applyFont="1" applyFill="1" applyBorder="1" applyAlignment="1">
      <alignment horizontal="center" wrapText="1"/>
    </xf>
    <xf numFmtId="0" fontId="22" fillId="39" borderId="19" xfId="0" applyFont="1" applyFill="1" applyBorder="1" applyAlignment="1">
      <alignment wrapText="1"/>
    </xf>
    <xf numFmtId="0" fontId="16" fillId="37" borderId="24" xfId="0" applyFont="1" applyFill="1" applyBorder="1" applyAlignment="1">
      <alignment wrapText="1"/>
    </xf>
    <xf numFmtId="9" fontId="0" fillId="37" borderId="11" xfId="0" applyNumberFormat="1" applyFill="1" applyBorder="1" applyAlignment="1">
      <alignment horizontal="center" wrapText="1"/>
    </xf>
    <xf numFmtId="0" fontId="24" fillId="37" borderId="11" xfId="0" applyFont="1" applyFill="1" applyBorder="1" applyAlignment="1">
      <alignment horizontal="center" wrapText="1"/>
    </xf>
    <xf numFmtId="0" fontId="30" fillId="37" borderId="11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10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1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0" fillId="33" borderId="13" xfId="0" applyFont="1" applyFill="1" applyBorder="1" applyAlignment="1">
      <alignment horizontal="center" vertical="top" wrapText="1"/>
    </xf>
    <xf numFmtId="0" fontId="20" fillId="33" borderId="13" xfId="0" applyFont="1" applyFill="1" applyBorder="1" applyAlignment="1">
      <alignment vertical="top" wrapText="1"/>
    </xf>
    <xf numFmtId="0" fontId="20" fillId="33" borderId="23" xfId="0" applyFont="1" applyFill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20" fillId="33" borderId="25" xfId="0" applyFont="1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Fill="1" applyBorder="1" applyAlignment="1">
      <alignment vertical="top" wrapText="1"/>
    </xf>
    <xf numFmtId="0" fontId="0" fillId="0" borderId="28" xfId="0" applyFill="1" applyBorder="1" applyAlignment="1">
      <alignment vertical="top" wrapText="1"/>
    </xf>
    <xf numFmtId="0" fontId="0" fillId="0" borderId="29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Binding Score by Relative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'Cross-Model Summary'!$B$22</c:f>
              <c:strCache>
                <c:ptCount val="1"/>
                <c:pt idx="0">
                  <c:v>0–20%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Summary'!$B$23:$B$28</c:f>
              <c:numCache>
                <c:formatCode>0.000</c:formatCode>
                <c:ptCount val="6"/>
                <c:pt idx="0">
                  <c:v>0.34</c:v>
                </c:pt>
                <c:pt idx="1">
                  <c:v>0.46600000000000003</c:v>
                </c:pt>
                <c:pt idx="2">
                  <c:v>0.48599999999999999</c:v>
                </c:pt>
                <c:pt idx="3">
                  <c:v>0.42799999999999999</c:v>
                </c:pt>
                <c:pt idx="4">
                  <c:v>0.43</c:v>
                </c:pt>
                <c:pt idx="5">
                  <c:v>0.38500000000000001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1-5B46-894D-0100E4826BDE}"/>
            </c:ext>
          </c:extLst>
        </c:ser>
        <c:ser>
          <c:idx val="1"/>
          <c:order val="1"/>
          <c:tx>
            <c:strRef>
              <c:f>'Cross-Model Summary'!$C$22</c:f>
              <c:strCache>
                <c:ptCount val="1"/>
                <c:pt idx="0">
                  <c:v>20–40%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Summary'!$C$23:$C$28</c:f>
              <c:numCache>
                <c:formatCode>0.000</c:formatCode>
                <c:ptCount val="6"/>
                <c:pt idx="0">
                  <c:v>0.435</c:v>
                </c:pt>
                <c:pt idx="1">
                  <c:v>0.32</c:v>
                </c:pt>
                <c:pt idx="2">
                  <c:v>0.40100000000000002</c:v>
                </c:pt>
                <c:pt idx="3">
                  <c:v>0.24299999999999999</c:v>
                </c:pt>
                <c:pt idx="4">
                  <c:v>0.30499999999999999</c:v>
                </c:pt>
                <c:pt idx="5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1-5B46-894D-0100E4826BDE}"/>
            </c:ext>
          </c:extLst>
        </c:ser>
        <c:ser>
          <c:idx val="2"/>
          <c:order val="2"/>
          <c:tx>
            <c:strRef>
              <c:f>'Cross-Model Summary'!$D$22</c:f>
              <c:strCache>
                <c:ptCount val="1"/>
                <c:pt idx="0">
                  <c:v>40–60%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Summary'!$D$23:$D$28</c:f>
              <c:numCache>
                <c:formatCode>0.000</c:formatCode>
                <c:ptCount val="6"/>
                <c:pt idx="0">
                  <c:v>0.246</c:v>
                </c:pt>
                <c:pt idx="1">
                  <c:v>0.184</c:v>
                </c:pt>
                <c:pt idx="2">
                  <c:v>0.13900000000000001</c:v>
                </c:pt>
                <c:pt idx="3">
                  <c:v>0.14099999999999999</c:v>
                </c:pt>
                <c:pt idx="4">
                  <c:v>0.32200000000000001</c:v>
                </c:pt>
                <c:pt idx="5">
                  <c:v>0.26800000000000002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1-5B46-894D-0100E4826BDE}"/>
            </c:ext>
          </c:extLst>
        </c:ser>
        <c:ser>
          <c:idx val="3"/>
          <c:order val="3"/>
          <c:tx>
            <c:strRef>
              <c:f>'Cross-Model Summary'!$E$22</c:f>
              <c:strCache>
                <c:ptCount val="1"/>
                <c:pt idx="0">
                  <c:v>60–80%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Summary'!$E$23:$E$28</c:f>
              <c:numCache>
                <c:formatCode>0.000</c:formatCode>
                <c:ptCount val="6"/>
                <c:pt idx="0">
                  <c:v>0.17299999999999999</c:v>
                </c:pt>
                <c:pt idx="1">
                  <c:v>0.159</c:v>
                </c:pt>
                <c:pt idx="3">
                  <c:v>0.17699999999999999</c:v>
                </c:pt>
                <c:pt idx="4">
                  <c:v>0.16600000000000001</c:v>
                </c:pt>
                <c:pt idx="5">
                  <c:v>0.16700000000000001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D1-5B46-894D-0100E4826BDE}"/>
            </c:ext>
          </c:extLst>
        </c:ser>
        <c:ser>
          <c:idx val="4"/>
          <c:order val="4"/>
          <c:tx>
            <c:strRef>
              <c:f>'Cross-Model Summary'!$F$22</c:f>
              <c:strCache>
                <c:ptCount val="1"/>
                <c:pt idx="0">
                  <c:v>80–100%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'Cross-Model Summary'!$A$23:$A$28</c:f>
              <c:strCache>
                <c:ptCount val="6"/>
                <c:pt idx="0">
                  <c:v>Pythia-160M</c:v>
                </c:pt>
                <c:pt idx="1">
                  <c:v>Pythia-410M</c:v>
                </c:pt>
                <c:pt idx="2">
                  <c:v>Pythia-1B</c:v>
                </c:pt>
                <c:pt idx="3">
                  <c:v>Pythia-2.8B</c:v>
                </c:pt>
                <c:pt idx="4">
                  <c:v>Pythia-6.9B</c:v>
                </c:pt>
                <c:pt idx="5">
                  <c:v>Pythia-12B</c:v>
                </c:pt>
              </c:strCache>
            </c:strRef>
          </c:cat>
          <c:val>
            <c:numRef>
              <c:f>'Cross-Model Summary'!$F$23:$F$28</c:f>
              <c:numCache>
                <c:formatCode>0.000</c:formatCode>
                <c:ptCount val="6"/>
                <c:pt idx="0">
                  <c:v>0.629</c:v>
                </c:pt>
                <c:pt idx="1">
                  <c:v>0.21299999999999999</c:v>
                </c:pt>
                <c:pt idx="2">
                  <c:v>0.123</c:v>
                </c:pt>
                <c:pt idx="3">
                  <c:v>0.28999999999999998</c:v>
                </c:pt>
                <c:pt idx="4">
                  <c:v>0.31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D1-5B46-894D-0100E4826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802303"/>
        <c:axId val="350811263"/>
      </c:barChart>
      <c:catAx>
        <c:axId val="35080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11263"/>
        <c:crosses val="autoZero"/>
        <c:auto val="1"/>
        <c:lblAlgn val="ctr"/>
        <c:lblOffset val="100"/>
        <c:noMultiLvlLbl val="0"/>
      </c:catAx>
      <c:valAx>
        <c:axId val="35081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Active Binding Heads by Layer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'Cross-Model Summary'!$B$66</c:f>
              <c:strCache>
                <c:ptCount val="1"/>
                <c:pt idx="0">
                  <c:v>First 25% (Early)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'Cross-Model Summary'!$A$67:$A$72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Summary'!$B$67:$B$72</c:f>
              <c:numCache>
                <c:formatCode>0.0%</c:formatCode>
                <c:ptCount val="6"/>
                <c:pt idx="0">
                  <c:v>0.5</c:v>
                </c:pt>
                <c:pt idx="1">
                  <c:v>0.676056338028169</c:v>
                </c:pt>
                <c:pt idx="2">
                  <c:v>0.8214285714285714</c:v>
                </c:pt>
                <c:pt idx="3">
                  <c:v>0.65346534653465349</c:v>
                </c:pt>
                <c:pt idx="4">
                  <c:v>0.73983739837398377</c:v>
                </c:pt>
                <c:pt idx="5">
                  <c:v>0.68907563025210083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3448-9351-8D5548C5B8AA}"/>
            </c:ext>
          </c:extLst>
        </c:ser>
        <c:ser>
          <c:idx val="1"/>
          <c:order val="1"/>
          <c:tx>
            <c:strRef>
              <c:f>'Cross-Model Summary'!$C$66</c:f>
              <c:strCache>
                <c:ptCount val="1"/>
                <c:pt idx="0">
                  <c:v>Middle 50%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'Cross-Model Summary'!$A$67:$A$72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Summary'!$C$67:$C$72</c:f>
              <c:numCache>
                <c:formatCode>0.0%</c:formatCode>
                <c:ptCount val="6"/>
                <c:pt idx="0">
                  <c:v>0.39130434782608697</c:v>
                </c:pt>
                <c:pt idx="1">
                  <c:v>0.21126760563380281</c:v>
                </c:pt>
                <c:pt idx="2">
                  <c:v>0.14285714285714285</c:v>
                </c:pt>
                <c:pt idx="3">
                  <c:v>0.21782178217821782</c:v>
                </c:pt>
                <c:pt idx="4">
                  <c:v>0.15447154471544716</c:v>
                </c:pt>
                <c:pt idx="5">
                  <c:v>0.18487394957983194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D-3448-9351-8D5548C5B8AA}"/>
            </c:ext>
          </c:extLst>
        </c:ser>
        <c:ser>
          <c:idx val="2"/>
          <c:order val="2"/>
          <c:tx>
            <c:strRef>
              <c:f>'Cross-Model Summary'!$D$66</c:f>
              <c:strCache>
                <c:ptCount val="1"/>
                <c:pt idx="0">
                  <c:v>Last 25% (Late)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'Cross-Model Summary'!$A$67:$A$72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Summary'!$D$67:$D$72</c:f>
              <c:numCache>
                <c:formatCode>0.0%</c:formatCode>
                <c:ptCount val="6"/>
                <c:pt idx="0">
                  <c:v>0.10869565217391304</c:v>
                </c:pt>
                <c:pt idx="1">
                  <c:v>0.11267605633802817</c:v>
                </c:pt>
                <c:pt idx="2">
                  <c:v>3.5714285714285712E-2</c:v>
                </c:pt>
                <c:pt idx="3">
                  <c:v>0.12871287128712872</c:v>
                </c:pt>
                <c:pt idx="4">
                  <c:v>0.10569105691056911</c:v>
                </c:pt>
                <c:pt idx="5">
                  <c:v>0.12605042016806722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D-3448-9351-8D5548C5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8874239"/>
        <c:axId val="304537919"/>
      </c:barChart>
      <c:catAx>
        <c:axId val="47887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37919"/>
        <c:crosses val="autoZero"/>
        <c:auto val="1"/>
        <c:lblAlgn val="ctr"/>
        <c:lblOffset val="100"/>
        <c:noMultiLvlLbl val="0"/>
      </c:catAx>
      <c:valAx>
        <c:axId val="30453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7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Late-Layer Binding Strength (Last 10% of Layers)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'Cross-Model Summary'!$B$40</c:f>
              <c:strCache>
                <c:ptCount val="1"/>
                <c:pt idx="0">
                  <c:v>Late Entries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'Cross-Model Summary'!$A$41:$A$46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Summary'!$B$41:$B$46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0-634C-8258-5D47D3E3EFBF}"/>
            </c:ext>
          </c:extLst>
        </c:ser>
        <c:ser>
          <c:idx val="1"/>
          <c:order val="1"/>
          <c:tx>
            <c:strRef>
              <c:f>'Cross-Model Summary'!$C$40</c:f>
              <c:strCache>
                <c:ptCount val="1"/>
                <c:pt idx="0">
                  <c:v>Avg Late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'Cross-Model Summary'!$A$41:$A$46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Summary'!$C$41:$C$46</c:f>
              <c:numCache>
                <c:formatCode>0.000</c:formatCode>
                <c:ptCount val="6"/>
                <c:pt idx="0">
                  <c:v>0.80100000000000005</c:v>
                </c:pt>
                <c:pt idx="1">
                  <c:v>0.22700000000000001</c:v>
                </c:pt>
                <c:pt idx="2">
                  <c:v>0.123</c:v>
                </c:pt>
                <c:pt idx="3">
                  <c:v>0.34</c:v>
                </c:pt>
                <c:pt idx="4">
                  <c:v>0.27400000000000002</c:v>
                </c:pt>
                <c:pt idx="5">
                  <c:v>0.43099999999999999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0-634C-8258-5D47D3E3E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913279"/>
        <c:axId val="478918655"/>
      </c:barChart>
      <c:catAx>
        <c:axId val="47891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18655"/>
        <c:crosses val="autoZero"/>
        <c:auto val="1"/>
        <c:lblAlgn val="ctr"/>
        <c:lblOffset val="100"/>
        <c:noMultiLvlLbl val="0"/>
      </c:catAx>
      <c:valAx>
        <c:axId val="47891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1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Do Strong Binding Heads (&gt;0.9) Appear?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'Cross-Model Summary'!$H$94</c:f>
              <c:strCache>
                <c:ptCount val="1"/>
                <c:pt idx="0">
                  <c:v>160M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Summary'!$H$95:$H$101</c:f>
              <c:numCache>
                <c:formatCode>0.000</c:formatCode>
                <c:ptCount val="7"/>
                <c:pt idx="4">
                  <c:v>0.92430000000000001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9-F04E-BC00-B2DEF8848D0C}"/>
            </c:ext>
          </c:extLst>
        </c:ser>
        <c:ser>
          <c:idx val="1"/>
          <c:order val="1"/>
          <c:tx>
            <c:strRef>
              <c:f>'Cross-Model Summary'!$I$94</c:f>
              <c:strCache>
                <c:ptCount val="1"/>
                <c:pt idx="0">
                  <c:v>410M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Summary'!$I$95:$I$101</c:f>
              <c:numCache>
                <c:formatCode>0.000</c:formatCode>
                <c:ptCount val="7"/>
                <c:pt idx="0">
                  <c:v>0.9758</c:v>
                </c:pt>
                <c:pt idx="1">
                  <c:v>0.94040000000000001</c:v>
                </c:pt>
                <c:pt idx="2">
                  <c:v>0.95909999999999995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9-F04E-BC00-B2DEF8848D0C}"/>
            </c:ext>
          </c:extLst>
        </c:ser>
        <c:ser>
          <c:idx val="2"/>
          <c:order val="2"/>
          <c:tx>
            <c:strRef>
              <c:f>'Cross-Model Summary'!$J$94</c:f>
              <c:strCache>
                <c:ptCount val="1"/>
                <c:pt idx="0">
                  <c:v>1B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Summary'!$J$95:$J$101</c:f>
              <c:numCache>
                <c:formatCode>0.000</c:formatCode>
                <c:ptCount val="7"/>
                <c:pt idx="0">
                  <c:v>0.96560000000000001</c:v>
                </c:pt>
                <c:pt idx="1">
                  <c:v>0.97040000000000004</c:v>
                </c:pt>
                <c:pt idx="2">
                  <c:v>0.99319999999999997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29-F04E-BC00-B2DEF8848D0C}"/>
            </c:ext>
          </c:extLst>
        </c:ser>
        <c:ser>
          <c:idx val="3"/>
          <c:order val="3"/>
          <c:tx>
            <c:strRef>
              <c:f>'Cross-Model Summary'!$K$94</c:f>
              <c:strCache>
                <c:ptCount val="1"/>
                <c:pt idx="0">
                  <c:v>2.8B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Summary'!$K$95:$K$101</c:f>
              <c:numCache>
                <c:formatCode>0.000</c:formatCode>
                <c:ptCount val="7"/>
                <c:pt idx="0">
                  <c:v>0.97260000000000002</c:v>
                </c:pt>
                <c:pt idx="1">
                  <c:v>0.9909</c:v>
                </c:pt>
                <c:pt idx="5">
                  <c:v>0.90190000000000003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29-F04E-BC00-B2DEF8848D0C}"/>
            </c:ext>
          </c:extLst>
        </c:ser>
        <c:ser>
          <c:idx val="4"/>
          <c:order val="4"/>
          <c:tx>
            <c:strRef>
              <c:f>'Cross-Model Summary'!$L$94</c:f>
              <c:strCache>
                <c:ptCount val="1"/>
                <c:pt idx="0">
                  <c:v>6.9B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Summary'!$L$95:$L$101</c:f>
              <c:numCache>
                <c:formatCode>0.000</c:formatCode>
                <c:ptCount val="7"/>
                <c:pt idx="1">
                  <c:v>0.96009999999999995</c:v>
                </c:pt>
                <c:pt idx="2">
                  <c:v>0.98599999999999999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29-F04E-BC00-B2DEF8848D0C}"/>
            </c:ext>
          </c:extLst>
        </c:ser>
        <c:ser>
          <c:idx val="5"/>
          <c:order val="5"/>
          <c:tx>
            <c:strRef>
              <c:f>'Cross-Model Summary'!$M$94</c:f>
              <c:strCache>
                <c:ptCount val="1"/>
                <c:pt idx="0">
                  <c:v>12B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'Cross-Model Summary'!$G$95:$G$101</c:f>
              <c:strCache>
                <c:ptCount val="7"/>
                <c:pt idx="0">
                  <c:v>0% (Layer 0)</c:v>
                </c:pt>
                <c:pt idx="1">
                  <c:v>3% (Layer 1)</c:v>
                </c:pt>
                <c:pt idx="2">
                  <c:v>6–10% (Layer 2–3)</c:v>
                </c:pt>
                <c:pt idx="3">
                  <c:v>13–20%</c:v>
                </c:pt>
                <c:pt idx="4">
                  <c:v>27% (Early-Mid)</c:v>
                </c:pt>
                <c:pt idx="5">
                  <c:v>90–94% (Late)</c:v>
                </c:pt>
                <c:pt idx="6">
                  <c:v>100% (Final Layer)</c:v>
                </c:pt>
              </c:strCache>
            </c:strRef>
          </c:xVal>
          <c:yVal>
            <c:numRef>
              <c:f>'Cross-Model Summary'!$M$95:$M$101</c:f>
              <c:numCache>
                <c:formatCode>0.000</c:formatCode>
                <c:ptCount val="7"/>
                <c:pt idx="1">
                  <c:v>0.99050000000000005</c:v>
                </c:pt>
                <c:pt idx="2">
                  <c:v>0.96750000000000003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29-F04E-BC00-B2DEF8848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43903"/>
        <c:axId val="258230015"/>
      </c:scatterChart>
      <c:valAx>
        <c:axId val="25824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30015"/>
        <c:crosses val="autoZero"/>
        <c:crossBetween val="midCat"/>
      </c:valAx>
      <c:valAx>
        <c:axId val="2582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43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Binding Heads vs. Total Capacity by Model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'Cross-Model Summary'!$M$31</c:f>
              <c:strCache>
                <c:ptCount val="1"/>
                <c:pt idx="0">
                  <c:v>Active Binding Heads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'Cross-Model Summary'!$L$32:$L$37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Summary'!$M$32:$M$37</c:f>
              <c:numCache>
                <c:formatCode>General</c:formatCode>
                <c:ptCount val="6"/>
                <c:pt idx="0">
                  <c:v>46</c:v>
                </c:pt>
                <c:pt idx="1">
                  <c:v>71</c:v>
                </c:pt>
                <c:pt idx="2">
                  <c:v>28</c:v>
                </c:pt>
                <c:pt idx="3">
                  <c:v>101</c:v>
                </c:pt>
                <c:pt idx="4">
                  <c:v>123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C-6249-8268-16CBC0D37B77}"/>
            </c:ext>
          </c:extLst>
        </c:ser>
        <c:ser>
          <c:idx val="1"/>
          <c:order val="1"/>
          <c:tx>
            <c:strRef>
              <c:f>'Cross-Model Summary'!$N$31</c:f>
              <c:strCache>
                <c:ptCount val="1"/>
                <c:pt idx="0">
                  <c:v>Other Heads</c:v>
                </c:pt>
              </c:strCache>
            </c:strRef>
          </c:tx>
          <c:spPr>
            <a:solidFill>
              <a:srgbClr val="D9E2EC"/>
            </a:solidFill>
            <a:ln>
              <a:noFill/>
            </a:ln>
            <a:effectLst/>
          </c:spPr>
          <c:invertIfNegative val="0"/>
          <c:cat>
            <c:strRef>
              <c:f>'Cross-Model Summary'!$L$32:$L$37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Summary'!$N$32:$N$37</c:f>
              <c:numCache>
                <c:formatCode>General</c:formatCode>
                <c:ptCount val="6"/>
                <c:pt idx="0">
                  <c:v>98</c:v>
                </c:pt>
                <c:pt idx="1">
                  <c:v>313</c:v>
                </c:pt>
                <c:pt idx="2">
                  <c:v>100</c:v>
                </c:pt>
                <c:pt idx="3">
                  <c:v>923</c:v>
                </c:pt>
                <c:pt idx="4">
                  <c:v>901</c:v>
                </c:pt>
                <c:pt idx="5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C-6249-8268-16CBC0D37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9446335"/>
        <c:axId val="232336319"/>
      </c:barChart>
      <c:catAx>
        <c:axId val="47944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336319"/>
        <c:crosses val="autoZero"/>
        <c:auto val="1"/>
        <c:lblAlgn val="ctr"/>
        <c:lblOffset val="100"/>
        <c:noMultiLvlLbl val="0"/>
      </c:catAx>
      <c:valAx>
        <c:axId val="2323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Attention Heads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4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All Heads Active in Binding (Declining with Scale)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'Cross-Model Summary'!$M$39</c:f>
              <c:strCache>
                <c:ptCount val="1"/>
                <c:pt idx="0">
                  <c:v>% of Heads Active in Binding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E75B6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B2A4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'Cross-Model Summary'!$L$40:$L$45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'Cross-Model Summary'!$M$40:$M$45</c:f>
              <c:numCache>
                <c:formatCode>0.0%</c:formatCode>
                <c:ptCount val="6"/>
                <c:pt idx="0">
                  <c:v>0.31944444444444442</c:v>
                </c:pt>
                <c:pt idx="1">
                  <c:v>0.18489583333333334</c:v>
                </c:pt>
                <c:pt idx="2">
                  <c:v>0.21875</c:v>
                </c:pt>
                <c:pt idx="3">
                  <c:v>9.86328125E-2</c:v>
                </c:pt>
                <c:pt idx="4">
                  <c:v>0.1201171875</c:v>
                </c:pt>
                <c:pt idx="5">
                  <c:v>8.2638888888888887E-2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C-4C44-8455-8E878E886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793983"/>
        <c:axId val="479214015"/>
      </c:lineChart>
      <c:catAx>
        <c:axId val="479793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Size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14015"/>
        <c:crosses val="autoZero"/>
        <c:auto val="1"/>
        <c:lblAlgn val="ctr"/>
        <c:lblOffset val="100"/>
        <c:noMultiLvlLbl val="0"/>
      </c:catAx>
      <c:valAx>
        <c:axId val="479214015"/>
        <c:scaling>
          <c:orientation val="minMax"/>
          <c:max val="0.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Total Heads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9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Binding Depth &amp; Strong Head Count by Model (Paper Fig.1 + 12B)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'Paper Alignment'!$B$23</c:f>
              <c:strCache>
                <c:ptCount val="1"/>
                <c:pt idx="0">
                  <c:v>Binding Depth %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E75B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'Paper Alignment'!$A$24:$A$29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'Paper Alignment'!$B$24:$B$29</c:f>
              <c:numCache>
                <c:formatCode>0%</c:formatCode>
                <c:ptCount val="6"/>
                <c:pt idx="0">
                  <c:v>1</c:v>
                </c:pt>
                <c:pt idx="1">
                  <c:v>0.39130434782608697</c:v>
                </c:pt>
                <c:pt idx="2">
                  <c:v>0.4</c:v>
                </c:pt>
                <c:pt idx="3">
                  <c:v>0.93548387096774188</c:v>
                </c:pt>
                <c:pt idx="4">
                  <c:v>0.967741935483871</c:v>
                </c:pt>
                <c:pt idx="5">
                  <c:v>0.97142857142857142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C-B148-B914-DEF36346B6BA}"/>
            </c:ext>
          </c:extLst>
        </c:ser>
        <c:ser>
          <c:idx val="1"/>
          <c:order val="1"/>
          <c:tx>
            <c:strRef>
              <c:f>'Paper Alignment'!$C$23</c:f>
              <c:strCache>
                <c:ptCount val="1"/>
                <c:pt idx="0">
                  <c:v>Strong Heads (≥ 0.5)</c:v>
                </c:pt>
              </c:strCache>
            </c:strRef>
          </c:tx>
          <c:spPr>
            <a:ln w="28575" cap="rnd">
              <a:solidFill>
                <a:srgbClr val="D4760A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D4760A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'Paper Alignment'!$A$24:$A$29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'Paper Alignment'!$C$24:$C$29</c:f>
              <c:numCache>
                <c:formatCode>General</c:formatCode>
                <c:ptCount val="6"/>
                <c:pt idx="0">
                  <c:v>10</c:v>
                </c:pt>
                <c:pt idx="1">
                  <c:v>22</c:v>
                </c:pt>
                <c:pt idx="2">
                  <c:v>11</c:v>
                </c:pt>
                <c:pt idx="3">
                  <c:v>25</c:v>
                </c:pt>
                <c:pt idx="4">
                  <c:v>37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C-B148-B914-DEF36346B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537023"/>
        <c:axId val="304538367"/>
      </c:lineChart>
      <c:catAx>
        <c:axId val="30453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38367"/>
        <c:crosses val="autoZero"/>
        <c:auto val="1"/>
        <c:lblAlgn val="ctr"/>
        <c:lblOffset val="100"/>
        <c:noMultiLvlLbl val="0"/>
      </c:catAx>
      <c:valAx>
        <c:axId val="3045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3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47</xdr:row>
      <xdr:rowOff>0</xdr:rowOff>
    </xdr:from>
    <xdr:to>
      <xdr:col>8</xdr:col>
      <xdr:colOff>952500</xdr:colOff>
      <xdr:row>60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7B6F5C-09AA-39D8-694A-F6B0F0FA1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3</xdr:col>
      <xdr:colOff>762000</xdr:colOff>
      <xdr:row>86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496AC3-0887-4E5F-9971-3C7251F1E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73</xdr:row>
      <xdr:rowOff>0</xdr:rowOff>
    </xdr:from>
    <xdr:to>
      <xdr:col>8</xdr:col>
      <xdr:colOff>952500</xdr:colOff>
      <xdr:row>86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8BBD68-FDB8-012E-EED7-C59D2B04B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102</xdr:row>
      <xdr:rowOff>0</xdr:rowOff>
    </xdr:from>
    <xdr:to>
      <xdr:col>9</xdr:col>
      <xdr:colOff>952500</xdr:colOff>
      <xdr:row>115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249CB2-E622-857E-35CF-66C394964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203200</xdr:rowOff>
    </xdr:from>
    <xdr:to>
      <xdr:col>4</xdr:col>
      <xdr:colOff>496455</xdr:colOff>
      <xdr:row>61</xdr:row>
      <xdr:rowOff>69274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1E7AF4-3921-AC2C-2763-E4B1299CC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837044</xdr:colOff>
      <xdr:row>47</xdr:row>
      <xdr:rowOff>18472</xdr:rowOff>
    </xdr:from>
    <xdr:to>
      <xdr:col>15</xdr:col>
      <xdr:colOff>831272</xdr:colOff>
      <xdr:row>67</xdr:row>
      <xdr:rowOff>18471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D4A737-9102-7554-BA8B-01A8BB217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1117600</xdr:colOff>
      <xdr:row>25</xdr:row>
      <xdr:rowOff>50800</xdr:rowOff>
    </xdr:from>
    <xdr:to>
      <xdr:col>13</xdr:col>
      <xdr:colOff>609600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11FC6-CE6B-E573-B618-0239F9E7E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3709027781" createdVersion="8" refreshedVersion="8" minRefreshableVersion="3" recordCount="28" xr:uid="{0977EC9C-AB66-F64D-90FB-14487E90EBF4}">
  <cacheSource type="worksheet">
    <worksheetSource name="Table2"/>
  </cacheSource>
  <cacheFields count="3">
    <cacheField name="layer" numFmtId="0">
      <sharedItems containsSemiMixedTypes="0" containsString="0" containsNumber="1" containsInteger="1" minValue="0" maxValue="15" count="9">
        <n v="0"/>
        <n v="1"/>
        <n v="2"/>
        <n v="3"/>
        <n v="5"/>
        <n v="6"/>
        <n v="7"/>
        <n v="8"/>
        <n v="15"/>
      </sharedItems>
    </cacheField>
    <cacheField name="head" numFmtId="0">
      <sharedItems containsSemiMixedTypes="0" containsString="0" containsNumber="1" containsInteger="1" minValue="0" maxValue="7"/>
    </cacheField>
    <cacheField name="reader_to_screen" numFmtId="0">
      <sharedItems containsSemiMixedTypes="0" containsString="0" containsNumber="1" minValue="0.10929999999999999" maxValue="0.9931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4638078707" createdVersion="8" refreshedVersion="8" minRefreshableVersion="3" recordCount="119" xr:uid="{089C9410-666B-D449-96F9-3D67C321D0B6}">
  <cacheSource type="worksheet">
    <worksheetSource name="Table1"/>
  </cacheSource>
  <cacheFields count="3">
    <cacheField name="layer" numFmtId="0">
      <sharedItems containsSemiMixedTypes="0" containsString="0" containsNumber="1" containsInteger="1" minValue="0" maxValue="35" count="26">
        <n v="0"/>
        <n v="1"/>
        <n v="2"/>
        <n v="3"/>
        <n v="4"/>
        <n v="5"/>
        <n v="6"/>
        <n v="7"/>
        <n v="8"/>
        <n v="9"/>
        <n v="10"/>
        <n v="11"/>
        <n v="12"/>
        <n v="14"/>
        <n v="15"/>
        <n v="16"/>
        <n v="18"/>
        <n v="19"/>
        <n v="25"/>
        <n v="26"/>
        <n v="29"/>
        <n v="30"/>
        <n v="32"/>
        <n v="33"/>
        <n v="34"/>
        <n v="35"/>
      </sharedItems>
    </cacheField>
    <cacheField name="head" numFmtId="0">
      <sharedItems containsSemiMixedTypes="0" containsString="0" containsNumber="1" containsInteger="1" minValue="0" maxValue="39"/>
    </cacheField>
    <cacheField name="reader_to_screen" numFmtId="0">
      <sharedItems containsSemiMixedTypes="0" containsString="0" containsNumber="1" minValue="0.10050000000000001" maxValue="0.9905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6973611108" createdVersion="8" refreshedVersion="8" minRefreshableVersion="3" recordCount="101" xr:uid="{06619978-7463-D544-8DB1-DDB87103898E}">
  <cacheSource type="worksheet">
    <worksheetSource name="Table3"/>
  </cacheSource>
  <cacheFields count="3">
    <cacheField name="layer" numFmtId="0">
      <sharedItems containsSemiMixedTypes="0" containsString="0" containsNumber="1" containsInteger="1" minValue="0" maxValue="31" count="25">
        <n v="0"/>
        <n v="1"/>
        <n v="2"/>
        <n v="3"/>
        <n v="4"/>
        <n v="5"/>
        <n v="6"/>
        <n v="8"/>
        <n v="9"/>
        <n v="10"/>
        <n v="11"/>
        <n v="12"/>
        <n v="14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head" numFmtId="0">
      <sharedItems containsSemiMixedTypes="0" containsString="0" containsNumber="1" containsInteger="1" minValue="0" maxValue="31"/>
    </cacheField>
    <cacheField name="reader_to_screen" numFmtId="0">
      <sharedItems containsSemiMixedTypes="0" containsString="0" containsNumber="1" minValue="0.10150000000000001" maxValue="0.9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7741087965" createdVersion="8" refreshedVersion="8" minRefreshableVersion="3" recordCount="71" xr:uid="{95E0C8D2-5B6E-4C40-B710-85B7AADB0CE0}">
  <cacheSource type="worksheet">
    <worksheetSource name="Table4"/>
  </cacheSource>
  <cacheFields count="3">
    <cacheField name="layer" numFmtId="0">
      <sharedItems containsSemiMixedTypes="0" containsString="0" containsNumber="1" containsInteger="1" minValue="0" maxValue="22" count="17">
        <n v="0"/>
        <n v="1"/>
        <n v="2"/>
        <n v="3"/>
        <n v="4"/>
        <n v="5"/>
        <n v="6"/>
        <n v="8"/>
        <n v="9"/>
        <n v="10"/>
        <n v="12"/>
        <n v="15"/>
        <n v="16"/>
        <n v="19"/>
        <n v="20"/>
        <n v="21"/>
        <n v="22"/>
      </sharedItems>
    </cacheField>
    <cacheField name="head" numFmtId="0">
      <sharedItems containsSemiMixedTypes="0" containsString="0" containsNumber="1" containsInteger="1" minValue="0" maxValue="15"/>
    </cacheField>
    <cacheField name="reader_to_screen" numFmtId="0">
      <sharedItems containsSemiMixedTypes="0" containsString="0" containsNumber="1" minValue="0.10050000000000001" maxValue="0.97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8466319448" createdVersion="8" refreshedVersion="8" minRefreshableVersion="3" recordCount="123" xr:uid="{054E8CFE-F108-CD49-8A76-62ED6A84C54E}">
  <cacheSource type="worksheet">
    <worksheetSource name="Table5"/>
  </cacheSource>
  <cacheFields count="3">
    <cacheField name="layer" numFmtId="0">
      <sharedItems containsSemiMixedTypes="0" containsString="0" containsNumber="1" containsInteger="1" minValue="0" maxValue="30" count="26">
        <n v="0"/>
        <n v="1"/>
        <n v="2"/>
        <n v="3"/>
        <n v="4"/>
        <n v="5"/>
        <n v="6"/>
        <n v="7"/>
        <n v="8"/>
        <n v="9"/>
        <n v="10"/>
        <n v="11"/>
        <n v="13"/>
        <n v="15"/>
        <n v="16"/>
        <n v="18"/>
        <n v="19"/>
        <n v="20"/>
        <n v="21"/>
        <n v="22"/>
        <n v="23"/>
        <n v="25"/>
        <n v="27"/>
        <n v="28"/>
        <n v="29"/>
        <n v="30"/>
      </sharedItems>
    </cacheField>
    <cacheField name="head" numFmtId="0">
      <sharedItems containsSemiMixedTypes="0" containsString="0" containsNumber="1" containsInteger="1" minValue="0" maxValue="31"/>
    </cacheField>
    <cacheField name="reader_to_screen" numFmtId="0">
      <sharedItems containsSemiMixedTypes="0" containsString="0" containsNumber="1" minValue="0.10100000000000001" maxValue="0.985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Salas" refreshedDate="46096.389123148147" createdVersion="8" refreshedVersion="8" minRefreshableVersion="3" recordCount="46" xr:uid="{42A52180-3B40-CF49-82C4-A990341A96A1}">
  <cacheSource type="worksheet">
    <worksheetSource name="Table6"/>
  </cacheSource>
  <cacheFields count="3">
    <cacheField name="layer" numFmtId="0">
      <sharedItems containsSemiMixedTypes="0" containsString="0" containsNumber="1" containsInteger="1" minValue="0" maxValue="11" count="12">
        <n v="0"/>
        <n v="1"/>
        <n v="2"/>
        <n v="3"/>
        <n v="4"/>
        <n v="5"/>
        <n v="6"/>
        <n v="7"/>
        <n v="8"/>
        <n v="9"/>
        <n v="10"/>
        <n v="11"/>
      </sharedItems>
    </cacheField>
    <cacheField name="head" numFmtId="0">
      <sharedItems containsSemiMixedTypes="0" containsString="0" containsNumber="1" containsInteger="1" minValue="0" maxValue="11"/>
    </cacheField>
    <cacheField name="reader_to_screen" numFmtId="0">
      <sharedItems containsSemiMixedTypes="0" containsString="0" containsNumber="1" minValue="0.10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n v="0"/>
    <n v="0.24179999999999999"/>
  </r>
  <r>
    <x v="0"/>
    <n v="1"/>
    <n v="0.46"/>
  </r>
  <r>
    <x v="0"/>
    <n v="3"/>
    <n v="0.96560000000000001"/>
  </r>
  <r>
    <x v="0"/>
    <n v="5"/>
    <n v="0.14990000000000001"/>
  </r>
  <r>
    <x v="0"/>
    <n v="7"/>
    <n v="0.24149999999999999"/>
  </r>
  <r>
    <x v="1"/>
    <n v="0"/>
    <n v="0.88919999999999999"/>
  </r>
  <r>
    <x v="1"/>
    <n v="2"/>
    <n v="0.58440000000000003"/>
  </r>
  <r>
    <x v="1"/>
    <n v="3"/>
    <n v="0.6673"/>
  </r>
  <r>
    <x v="1"/>
    <n v="4"/>
    <n v="0.97040000000000004"/>
  </r>
  <r>
    <x v="1"/>
    <n v="5"/>
    <n v="0.35120000000000001"/>
  </r>
  <r>
    <x v="1"/>
    <n v="6"/>
    <n v="0.37730000000000002"/>
  </r>
  <r>
    <x v="2"/>
    <n v="0"/>
    <n v="0.66100000000000003"/>
  </r>
  <r>
    <x v="2"/>
    <n v="1"/>
    <n v="0.29249999999999998"/>
  </r>
  <r>
    <x v="2"/>
    <n v="2"/>
    <n v="0.7"/>
  </r>
  <r>
    <x v="2"/>
    <n v="3"/>
    <n v="0.1696"/>
  </r>
  <r>
    <x v="2"/>
    <n v="4"/>
    <n v="0.1709"/>
  </r>
  <r>
    <x v="2"/>
    <n v="5"/>
    <n v="0.10929999999999999"/>
  </r>
  <r>
    <x v="2"/>
    <n v="6"/>
    <n v="0.54649999999999999"/>
  </r>
  <r>
    <x v="2"/>
    <n v="7"/>
    <n v="0.25390000000000001"/>
  </r>
  <r>
    <x v="3"/>
    <n v="3"/>
    <n v="0.22259999999999999"/>
  </r>
  <r>
    <x v="3"/>
    <n v="5"/>
    <n v="0.99319999999999997"/>
  </r>
  <r>
    <x v="3"/>
    <n v="6"/>
    <n v="0.72560000000000002"/>
  </r>
  <r>
    <x v="3"/>
    <n v="7"/>
    <n v="0.4335"/>
  </r>
  <r>
    <x v="4"/>
    <n v="3"/>
    <n v="0.15720000000000001"/>
  </r>
  <r>
    <x v="5"/>
    <n v="3"/>
    <n v="0.64500000000000002"/>
  </r>
  <r>
    <x v="6"/>
    <n v="6"/>
    <n v="0.15820000000000001"/>
  </r>
  <r>
    <x v="7"/>
    <n v="1"/>
    <n v="0.1198"/>
  </r>
  <r>
    <x v="8"/>
    <n v="5"/>
    <n v="0.1228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n v="1"/>
    <n v="0.109"/>
  </r>
  <r>
    <x v="0"/>
    <n v="3"/>
    <n v="0.34560000000000002"/>
  </r>
  <r>
    <x v="0"/>
    <n v="5"/>
    <n v="0.26619999999999999"/>
  </r>
  <r>
    <x v="0"/>
    <n v="6"/>
    <n v="0.41789999999999999"/>
  </r>
  <r>
    <x v="0"/>
    <n v="7"/>
    <n v="0.152"/>
  </r>
  <r>
    <x v="0"/>
    <n v="9"/>
    <n v="0.2361"/>
  </r>
  <r>
    <x v="0"/>
    <n v="11"/>
    <n v="0.13769999999999999"/>
  </r>
  <r>
    <x v="0"/>
    <n v="14"/>
    <n v="0.12559999999999999"/>
  </r>
  <r>
    <x v="0"/>
    <n v="16"/>
    <n v="0.1656"/>
  </r>
  <r>
    <x v="0"/>
    <n v="18"/>
    <n v="0.2596"/>
  </r>
  <r>
    <x v="0"/>
    <n v="19"/>
    <n v="0.21790000000000001"/>
  </r>
  <r>
    <x v="0"/>
    <n v="20"/>
    <n v="0.28100000000000003"/>
  </r>
  <r>
    <x v="0"/>
    <n v="25"/>
    <n v="0.19159999999999999"/>
  </r>
  <r>
    <x v="0"/>
    <n v="26"/>
    <n v="0.3342"/>
  </r>
  <r>
    <x v="0"/>
    <n v="27"/>
    <n v="0.22090000000000001"/>
  </r>
  <r>
    <x v="0"/>
    <n v="29"/>
    <n v="0.13189999999999999"/>
  </r>
  <r>
    <x v="0"/>
    <n v="30"/>
    <n v="0.52100000000000002"/>
  </r>
  <r>
    <x v="0"/>
    <n v="31"/>
    <n v="0.50490000000000002"/>
  </r>
  <r>
    <x v="0"/>
    <n v="32"/>
    <n v="0.2087"/>
  </r>
  <r>
    <x v="0"/>
    <n v="33"/>
    <n v="0.10050000000000001"/>
  </r>
  <r>
    <x v="0"/>
    <n v="35"/>
    <n v="0.16919999999999999"/>
  </r>
  <r>
    <x v="0"/>
    <n v="36"/>
    <n v="0.39129999999999998"/>
  </r>
  <r>
    <x v="0"/>
    <n v="38"/>
    <n v="0.2092"/>
  </r>
  <r>
    <x v="0"/>
    <n v="39"/>
    <n v="0.3377"/>
  </r>
  <r>
    <x v="1"/>
    <n v="0"/>
    <n v="0.19700000000000001"/>
  </r>
  <r>
    <x v="1"/>
    <n v="2"/>
    <n v="0.1704"/>
  </r>
  <r>
    <x v="1"/>
    <n v="8"/>
    <n v="0.1716"/>
  </r>
  <r>
    <x v="1"/>
    <n v="9"/>
    <n v="0.13370000000000001"/>
  </r>
  <r>
    <x v="1"/>
    <n v="12"/>
    <n v="0.18870000000000001"/>
  </r>
  <r>
    <x v="1"/>
    <n v="13"/>
    <n v="0.1648"/>
  </r>
  <r>
    <x v="1"/>
    <n v="14"/>
    <n v="0.82210000000000005"/>
  </r>
  <r>
    <x v="1"/>
    <n v="15"/>
    <n v="0.99050000000000005"/>
  </r>
  <r>
    <x v="1"/>
    <n v="16"/>
    <n v="0.1971"/>
  </r>
  <r>
    <x v="1"/>
    <n v="20"/>
    <n v="0.154"/>
  </r>
  <r>
    <x v="1"/>
    <n v="21"/>
    <n v="0.34360000000000002"/>
  </r>
  <r>
    <x v="1"/>
    <n v="22"/>
    <n v="0.20730000000000001"/>
  </r>
  <r>
    <x v="1"/>
    <n v="23"/>
    <n v="0.1492"/>
  </r>
  <r>
    <x v="1"/>
    <n v="24"/>
    <n v="0.84209999999999996"/>
  </r>
  <r>
    <x v="1"/>
    <n v="26"/>
    <n v="0.96799999999999997"/>
  </r>
  <r>
    <x v="1"/>
    <n v="28"/>
    <n v="0.11840000000000001"/>
  </r>
  <r>
    <x v="1"/>
    <n v="31"/>
    <n v="0.11749999999999999"/>
  </r>
  <r>
    <x v="1"/>
    <n v="33"/>
    <n v="0.18160000000000001"/>
  </r>
  <r>
    <x v="1"/>
    <n v="34"/>
    <n v="0.28849999999999998"/>
  </r>
  <r>
    <x v="1"/>
    <n v="35"/>
    <n v="0.53820000000000001"/>
  </r>
  <r>
    <x v="1"/>
    <n v="36"/>
    <n v="0.1318"/>
  </r>
  <r>
    <x v="1"/>
    <n v="37"/>
    <n v="0.56269999999999998"/>
  </r>
  <r>
    <x v="1"/>
    <n v="38"/>
    <n v="0.87829999999999997"/>
  </r>
  <r>
    <x v="2"/>
    <n v="0"/>
    <n v="0.59189999999999998"/>
  </r>
  <r>
    <x v="2"/>
    <n v="4"/>
    <n v="0.73440000000000005"/>
  </r>
  <r>
    <x v="2"/>
    <n v="7"/>
    <n v="0.90780000000000005"/>
  </r>
  <r>
    <x v="2"/>
    <n v="11"/>
    <n v="0.1096"/>
  </r>
  <r>
    <x v="2"/>
    <n v="12"/>
    <n v="0.72270000000000001"/>
  </r>
  <r>
    <x v="2"/>
    <n v="13"/>
    <n v="0.2777"/>
  </r>
  <r>
    <x v="2"/>
    <n v="14"/>
    <n v="0.78080000000000005"/>
  </r>
  <r>
    <x v="2"/>
    <n v="16"/>
    <n v="0.59619999999999995"/>
  </r>
  <r>
    <x v="2"/>
    <n v="18"/>
    <n v="0.67910000000000004"/>
  </r>
  <r>
    <x v="2"/>
    <n v="19"/>
    <n v="0.82110000000000005"/>
  </r>
  <r>
    <x v="2"/>
    <n v="20"/>
    <n v="0.2145"/>
  </r>
  <r>
    <x v="2"/>
    <n v="22"/>
    <n v="0.96750000000000003"/>
  </r>
  <r>
    <x v="2"/>
    <n v="32"/>
    <n v="0.9486"/>
  </r>
  <r>
    <x v="2"/>
    <n v="34"/>
    <n v="0.30690000000000001"/>
  </r>
  <r>
    <x v="2"/>
    <n v="38"/>
    <n v="0.19070000000000001"/>
  </r>
  <r>
    <x v="3"/>
    <n v="0"/>
    <n v="0.17660000000000001"/>
  </r>
  <r>
    <x v="3"/>
    <n v="2"/>
    <n v="0.51859999999999995"/>
  </r>
  <r>
    <x v="3"/>
    <n v="3"/>
    <n v="0.27400000000000002"/>
  </r>
  <r>
    <x v="3"/>
    <n v="4"/>
    <n v="0.1032"/>
  </r>
  <r>
    <x v="3"/>
    <n v="7"/>
    <n v="0.90790000000000004"/>
  </r>
  <r>
    <x v="3"/>
    <n v="8"/>
    <n v="0.77390000000000003"/>
  </r>
  <r>
    <x v="3"/>
    <n v="15"/>
    <n v="0.15579999999999999"/>
  </r>
  <r>
    <x v="3"/>
    <n v="20"/>
    <n v="0.13320000000000001"/>
  </r>
  <r>
    <x v="3"/>
    <n v="21"/>
    <n v="0.79649999999999999"/>
  </r>
  <r>
    <x v="3"/>
    <n v="30"/>
    <n v="0.90910000000000002"/>
  </r>
  <r>
    <x v="3"/>
    <n v="32"/>
    <n v="0.41880000000000001"/>
  </r>
  <r>
    <x v="3"/>
    <n v="38"/>
    <n v="0.1288"/>
  </r>
  <r>
    <x v="4"/>
    <n v="27"/>
    <n v="0.19800000000000001"/>
  </r>
  <r>
    <x v="4"/>
    <n v="37"/>
    <n v="0.1618"/>
  </r>
  <r>
    <x v="5"/>
    <n v="5"/>
    <n v="0.17019999999999999"/>
  </r>
  <r>
    <x v="5"/>
    <n v="28"/>
    <n v="0.56759999999999999"/>
  </r>
  <r>
    <x v="6"/>
    <n v="6"/>
    <n v="0.47970000000000002"/>
  </r>
  <r>
    <x v="7"/>
    <n v="31"/>
    <n v="0.54190000000000005"/>
  </r>
  <r>
    <x v="8"/>
    <n v="13"/>
    <n v="0.14810000000000001"/>
  </r>
  <r>
    <x v="8"/>
    <n v="32"/>
    <n v="0.2545"/>
  </r>
  <r>
    <x v="9"/>
    <n v="25"/>
    <n v="0.1852"/>
  </r>
  <r>
    <x v="9"/>
    <n v="34"/>
    <n v="0.54669999999999996"/>
  </r>
  <r>
    <x v="9"/>
    <n v="35"/>
    <n v="0.4042"/>
  </r>
  <r>
    <x v="10"/>
    <n v="1"/>
    <n v="0.2102"/>
  </r>
  <r>
    <x v="11"/>
    <n v="13"/>
    <n v="0.82279999999999998"/>
  </r>
  <r>
    <x v="11"/>
    <n v="20"/>
    <n v="0.1676"/>
  </r>
  <r>
    <x v="12"/>
    <n v="15"/>
    <n v="0.1166"/>
  </r>
  <r>
    <x v="12"/>
    <n v="32"/>
    <n v="0.1938"/>
  </r>
  <r>
    <x v="13"/>
    <n v="7"/>
    <n v="0.55569999999999997"/>
  </r>
  <r>
    <x v="14"/>
    <n v="8"/>
    <n v="0.43530000000000002"/>
  </r>
  <r>
    <x v="15"/>
    <n v="1"/>
    <n v="0.1159"/>
  </r>
  <r>
    <x v="15"/>
    <n v="32"/>
    <n v="0.11260000000000001"/>
  </r>
  <r>
    <x v="15"/>
    <n v="37"/>
    <n v="0.185"/>
  </r>
  <r>
    <x v="16"/>
    <n v="24"/>
    <n v="0.20610000000000001"/>
  </r>
  <r>
    <x v="16"/>
    <n v="35"/>
    <n v="0.28070000000000001"/>
  </r>
  <r>
    <x v="17"/>
    <n v="11"/>
    <n v="0.35470000000000002"/>
  </r>
  <r>
    <x v="17"/>
    <n v="15"/>
    <n v="0.74260000000000004"/>
  </r>
  <r>
    <x v="17"/>
    <n v="28"/>
    <n v="0.14219999999999999"/>
  </r>
  <r>
    <x v="17"/>
    <n v="33"/>
    <n v="0.1043"/>
  </r>
  <r>
    <x v="18"/>
    <n v="2"/>
    <n v="0.11609999999999999"/>
  </r>
  <r>
    <x v="18"/>
    <n v="28"/>
    <n v="0.2419"/>
  </r>
  <r>
    <x v="19"/>
    <n v="9"/>
    <n v="0.1416"/>
  </r>
  <r>
    <x v="20"/>
    <n v="34"/>
    <n v="0.13650000000000001"/>
  </r>
  <r>
    <x v="21"/>
    <n v="0"/>
    <n v="0.52170000000000005"/>
  </r>
  <r>
    <x v="22"/>
    <n v="1"/>
    <n v="0.12"/>
  </r>
  <r>
    <x v="22"/>
    <n v="35"/>
    <n v="0.48409999999999997"/>
  </r>
  <r>
    <x v="23"/>
    <n v="0"/>
    <n v="0.76439999999999997"/>
  </r>
  <r>
    <x v="23"/>
    <n v="16"/>
    <n v="0.87660000000000005"/>
  </r>
  <r>
    <x v="23"/>
    <n v="19"/>
    <n v="0.16109999999999999"/>
  </r>
  <r>
    <x v="23"/>
    <n v="27"/>
    <n v="0.11360000000000001"/>
  </r>
  <r>
    <x v="23"/>
    <n v="32"/>
    <n v="0.5907"/>
  </r>
  <r>
    <x v="23"/>
    <n v="33"/>
    <n v="0.55800000000000005"/>
  </r>
  <r>
    <x v="23"/>
    <n v="35"/>
    <n v="0.4924"/>
  </r>
  <r>
    <x v="24"/>
    <n v="2"/>
    <n v="0.2432"/>
  </r>
  <r>
    <x v="24"/>
    <n v="12"/>
    <n v="0.53939999999999999"/>
  </r>
  <r>
    <x v="24"/>
    <n v="37"/>
    <n v="0.1008"/>
  </r>
  <r>
    <x v="25"/>
    <n v="2"/>
    <n v="0.299800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0"/>
    <n v="0.59360000000000002"/>
  </r>
  <r>
    <x v="0"/>
    <n v="1"/>
    <n v="0.158"/>
  </r>
  <r>
    <x v="0"/>
    <n v="2"/>
    <n v="0.32079999999999997"/>
  </r>
  <r>
    <x v="0"/>
    <n v="4"/>
    <n v="0.1212"/>
  </r>
  <r>
    <x v="0"/>
    <n v="5"/>
    <n v="0.34639999999999999"/>
  </r>
  <r>
    <x v="0"/>
    <n v="6"/>
    <n v="0.11409999999999999"/>
  </r>
  <r>
    <x v="0"/>
    <n v="8"/>
    <n v="0.11899999999999999"/>
  </r>
  <r>
    <x v="0"/>
    <n v="10"/>
    <n v="0.27610000000000001"/>
  </r>
  <r>
    <x v="0"/>
    <n v="12"/>
    <n v="0.1202"/>
  </r>
  <r>
    <x v="0"/>
    <n v="16"/>
    <n v="0.27639999999999998"/>
  </r>
  <r>
    <x v="0"/>
    <n v="17"/>
    <n v="0.185"/>
  </r>
  <r>
    <x v="0"/>
    <n v="19"/>
    <n v="0.1396"/>
  </r>
  <r>
    <x v="0"/>
    <n v="20"/>
    <n v="0.79659999999999997"/>
  </r>
  <r>
    <x v="0"/>
    <n v="21"/>
    <n v="0.97260000000000002"/>
  </r>
  <r>
    <x v="0"/>
    <n v="22"/>
    <n v="0.67779999999999996"/>
  </r>
  <r>
    <x v="0"/>
    <n v="23"/>
    <n v="0.2417"/>
  </r>
  <r>
    <x v="0"/>
    <n v="25"/>
    <n v="0.25669999999999998"/>
  </r>
  <r>
    <x v="0"/>
    <n v="27"/>
    <n v="0.2404"/>
  </r>
  <r>
    <x v="0"/>
    <n v="30"/>
    <n v="0.44169999999999998"/>
  </r>
  <r>
    <x v="0"/>
    <n v="31"/>
    <n v="0.12659999999999999"/>
  </r>
  <r>
    <x v="1"/>
    <n v="0"/>
    <n v="0.1095"/>
  </r>
  <r>
    <x v="1"/>
    <n v="2"/>
    <n v="0.22339999999999999"/>
  </r>
  <r>
    <x v="1"/>
    <n v="4"/>
    <n v="0.83699999999999997"/>
  </r>
  <r>
    <x v="1"/>
    <n v="5"/>
    <n v="0.59650000000000003"/>
  </r>
  <r>
    <x v="1"/>
    <n v="6"/>
    <n v="0.98150000000000004"/>
  </r>
  <r>
    <x v="1"/>
    <n v="8"/>
    <n v="0.14949999999999999"/>
  </r>
  <r>
    <x v="1"/>
    <n v="10"/>
    <n v="0.1852"/>
  </r>
  <r>
    <x v="1"/>
    <n v="11"/>
    <n v="0.92679999999999996"/>
  </r>
  <r>
    <x v="1"/>
    <n v="12"/>
    <n v="0.9909"/>
  </r>
  <r>
    <x v="1"/>
    <n v="14"/>
    <n v="0.83799999999999997"/>
  </r>
  <r>
    <x v="1"/>
    <n v="15"/>
    <n v="0.77280000000000004"/>
  </r>
  <r>
    <x v="1"/>
    <n v="16"/>
    <n v="0.1019"/>
  </r>
  <r>
    <x v="1"/>
    <n v="17"/>
    <n v="0.97189999999999999"/>
  </r>
  <r>
    <x v="1"/>
    <n v="18"/>
    <n v="0.23039999999999999"/>
  </r>
  <r>
    <x v="1"/>
    <n v="21"/>
    <n v="0.8115"/>
  </r>
  <r>
    <x v="1"/>
    <n v="22"/>
    <n v="0.90580000000000005"/>
  </r>
  <r>
    <x v="1"/>
    <n v="23"/>
    <n v="0.49740000000000001"/>
  </r>
  <r>
    <x v="1"/>
    <n v="24"/>
    <n v="0.45240000000000002"/>
  </r>
  <r>
    <x v="1"/>
    <n v="25"/>
    <n v="0.94830000000000003"/>
  </r>
  <r>
    <x v="1"/>
    <n v="27"/>
    <n v="0.17610000000000001"/>
  </r>
  <r>
    <x v="1"/>
    <n v="28"/>
    <n v="0.2747"/>
  </r>
  <r>
    <x v="1"/>
    <n v="29"/>
    <n v="0.98399999999999999"/>
  </r>
  <r>
    <x v="1"/>
    <n v="30"/>
    <n v="0.53720000000000001"/>
  </r>
  <r>
    <x v="1"/>
    <n v="31"/>
    <n v="0.3392"/>
  </r>
  <r>
    <x v="2"/>
    <n v="5"/>
    <n v="0.49859999999999999"/>
  </r>
  <r>
    <x v="2"/>
    <n v="12"/>
    <n v="0.61460000000000004"/>
  </r>
  <r>
    <x v="2"/>
    <n v="17"/>
    <n v="0.36909999999999998"/>
  </r>
  <r>
    <x v="2"/>
    <n v="20"/>
    <n v="0.14460000000000001"/>
  </r>
  <r>
    <x v="2"/>
    <n v="22"/>
    <n v="0.21690000000000001"/>
  </r>
  <r>
    <x v="2"/>
    <n v="24"/>
    <n v="0.2036"/>
  </r>
  <r>
    <x v="2"/>
    <n v="27"/>
    <n v="0.41339999999999999"/>
  </r>
  <r>
    <x v="2"/>
    <n v="30"/>
    <n v="0.17979999999999999"/>
  </r>
  <r>
    <x v="3"/>
    <n v="1"/>
    <n v="0.60389999999999999"/>
  </r>
  <r>
    <x v="3"/>
    <n v="14"/>
    <n v="0.1996"/>
  </r>
  <r>
    <x v="3"/>
    <n v="16"/>
    <n v="0.1159"/>
  </r>
  <r>
    <x v="3"/>
    <n v="23"/>
    <n v="0.84089999999999998"/>
  </r>
  <r>
    <x v="3"/>
    <n v="26"/>
    <n v="0.21829999999999999"/>
  </r>
  <r>
    <x v="3"/>
    <n v="29"/>
    <n v="0.31519999999999998"/>
  </r>
  <r>
    <x v="4"/>
    <n v="0"/>
    <n v="0.11260000000000001"/>
  </r>
  <r>
    <x v="4"/>
    <n v="16"/>
    <n v="0.88959999999999995"/>
  </r>
  <r>
    <x v="4"/>
    <n v="23"/>
    <n v="0.41510000000000002"/>
  </r>
  <r>
    <x v="4"/>
    <n v="25"/>
    <n v="0.2681"/>
  </r>
  <r>
    <x v="5"/>
    <n v="17"/>
    <n v="0.1162"/>
  </r>
  <r>
    <x v="5"/>
    <n v="23"/>
    <n v="0.25219999999999998"/>
  </r>
  <r>
    <x v="6"/>
    <n v="6"/>
    <n v="0.1043"/>
  </r>
  <r>
    <x v="6"/>
    <n v="13"/>
    <n v="0.8004"/>
  </r>
  <r>
    <x v="7"/>
    <n v="20"/>
    <n v="0.13200000000000001"/>
  </r>
  <r>
    <x v="8"/>
    <n v="6"/>
    <n v="0.15229999999999999"/>
  </r>
  <r>
    <x v="8"/>
    <n v="13"/>
    <n v="0.112"/>
  </r>
  <r>
    <x v="8"/>
    <n v="18"/>
    <n v="0.1203"/>
  </r>
  <r>
    <x v="9"/>
    <n v="7"/>
    <n v="0.1179"/>
  </r>
  <r>
    <x v="9"/>
    <n v="14"/>
    <n v="0.2828"/>
  </r>
  <r>
    <x v="9"/>
    <n v="19"/>
    <n v="0.25440000000000002"/>
  </r>
  <r>
    <x v="9"/>
    <n v="27"/>
    <n v="0.76770000000000005"/>
  </r>
  <r>
    <x v="10"/>
    <n v="7"/>
    <n v="0.32300000000000001"/>
  </r>
  <r>
    <x v="10"/>
    <n v="21"/>
    <n v="0.1348"/>
  </r>
  <r>
    <x v="10"/>
    <n v="29"/>
    <n v="0.1802"/>
  </r>
  <r>
    <x v="11"/>
    <n v="10"/>
    <n v="0.1231"/>
  </r>
  <r>
    <x v="11"/>
    <n v="26"/>
    <n v="0.1024"/>
  </r>
  <r>
    <x v="11"/>
    <n v="31"/>
    <n v="0.5948"/>
  </r>
  <r>
    <x v="12"/>
    <n v="21"/>
    <n v="0.14130000000000001"/>
  </r>
  <r>
    <x v="13"/>
    <n v="5"/>
    <n v="0.10150000000000001"/>
  </r>
  <r>
    <x v="13"/>
    <n v="12"/>
    <n v="0.3246"/>
  </r>
  <r>
    <x v="13"/>
    <n v="30"/>
    <n v="0.1686"/>
  </r>
  <r>
    <x v="14"/>
    <n v="24"/>
    <n v="0.1106"/>
  </r>
  <r>
    <x v="15"/>
    <n v="22"/>
    <n v="0.12189999999999999"/>
  </r>
  <r>
    <x v="15"/>
    <n v="30"/>
    <n v="0.1198"/>
  </r>
  <r>
    <x v="16"/>
    <n v="12"/>
    <n v="0.12870000000000001"/>
  </r>
  <r>
    <x v="17"/>
    <n v="4"/>
    <n v="0.23280000000000001"/>
  </r>
  <r>
    <x v="17"/>
    <n v="11"/>
    <n v="0.22009999999999999"/>
  </r>
  <r>
    <x v="18"/>
    <n v="1"/>
    <n v="0.24049999999999999"/>
  </r>
  <r>
    <x v="18"/>
    <n v="2"/>
    <n v="0.2485"/>
  </r>
  <r>
    <x v="18"/>
    <n v="4"/>
    <n v="0.1027"/>
  </r>
  <r>
    <x v="19"/>
    <n v="4"/>
    <n v="0.21440000000000001"/>
  </r>
  <r>
    <x v="20"/>
    <n v="10"/>
    <n v="0.38080000000000003"/>
  </r>
  <r>
    <x v="20"/>
    <n v="24"/>
    <n v="0.10299999999999999"/>
  </r>
  <r>
    <x v="21"/>
    <n v="15"/>
    <n v="0.2576"/>
  </r>
  <r>
    <x v="22"/>
    <n v="7"/>
    <n v="0.90190000000000003"/>
  </r>
  <r>
    <x v="23"/>
    <n v="18"/>
    <n v="0.12529999999999999"/>
  </r>
  <r>
    <x v="23"/>
    <n v="20"/>
    <n v="0.1116"/>
  </r>
  <r>
    <x v="24"/>
    <n v="23"/>
    <n v="0.2225999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0"/>
    <n v="0.84540000000000004"/>
  </r>
  <r>
    <x v="0"/>
    <n v="4"/>
    <n v="0.1966"/>
  </r>
  <r>
    <x v="0"/>
    <n v="6"/>
    <n v="0.2611"/>
  </r>
  <r>
    <x v="0"/>
    <n v="9"/>
    <n v="0.2697"/>
  </r>
  <r>
    <x v="0"/>
    <n v="14"/>
    <n v="0.9758"/>
  </r>
  <r>
    <x v="1"/>
    <n v="2"/>
    <n v="0.65869999999999995"/>
  </r>
  <r>
    <x v="1"/>
    <n v="3"/>
    <n v="0.94040000000000001"/>
  </r>
  <r>
    <x v="1"/>
    <n v="5"/>
    <n v="0.1462"/>
  </r>
  <r>
    <x v="1"/>
    <n v="6"/>
    <n v="0.68779999999999997"/>
  </r>
  <r>
    <x v="1"/>
    <n v="7"/>
    <n v="0.33050000000000002"/>
  </r>
  <r>
    <x v="1"/>
    <n v="9"/>
    <n v="0.75980000000000003"/>
  </r>
  <r>
    <x v="1"/>
    <n v="10"/>
    <n v="0.80049999999999999"/>
  </r>
  <r>
    <x v="1"/>
    <n v="11"/>
    <n v="0.3266"/>
  </r>
  <r>
    <x v="1"/>
    <n v="12"/>
    <n v="0.38329999999999997"/>
  </r>
  <r>
    <x v="1"/>
    <n v="14"/>
    <n v="0.53059999999999996"/>
  </r>
  <r>
    <x v="2"/>
    <n v="8"/>
    <n v="0.66290000000000004"/>
  </r>
  <r>
    <x v="2"/>
    <n v="9"/>
    <n v="0.1535"/>
  </r>
  <r>
    <x v="2"/>
    <n v="11"/>
    <n v="0.39240000000000003"/>
  </r>
  <r>
    <x v="2"/>
    <n v="13"/>
    <n v="0.76380000000000003"/>
  </r>
  <r>
    <x v="2"/>
    <n v="15"/>
    <n v="0.10780000000000001"/>
  </r>
  <r>
    <x v="3"/>
    <n v="1"/>
    <n v="0.58989999999999998"/>
  </r>
  <r>
    <x v="3"/>
    <n v="3"/>
    <n v="0.86729999999999996"/>
  </r>
  <r>
    <x v="3"/>
    <n v="4"/>
    <n v="0.85189999999999999"/>
  </r>
  <r>
    <x v="3"/>
    <n v="5"/>
    <n v="0.78010000000000002"/>
  </r>
  <r>
    <x v="3"/>
    <n v="6"/>
    <n v="0.4294"/>
  </r>
  <r>
    <x v="3"/>
    <n v="7"/>
    <n v="0.24890000000000001"/>
  </r>
  <r>
    <x v="3"/>
    <n v="8"/>
    <n v="0.21390000000000001"/>
  </r>
  <r>
    <x v="3"/>
    <n v="10"/>
    <n v="0.53710000000000002"/>
  </r>
  <r>
    <x v="3"/>
    <n v="12"/>
    <n v="0.30630000000000002"/>
  </r>
  <r>
    <x v="3"/>
    <n v="13"/>
    <n v="0.95909999999999995"/>
  </r>
  <r>
    <x v="4"/>
    <n v="0"/>
    <n v="0.46660000000000001"/>
  </r>
  <r>
    <x v="4"/>
    <n v="1"/>
    <n v="0.16420000000000001"/>
  </r>
  <r>
    <x v="4"/>
    <n v="2"/>
    <n v="0.13450000000000001"/>
  </r>
  <r>
    <x v="4"/>
    <n v="6"/>
    <n v="0.29020000000000001"/>
  </r>
  <r>
    <x v="4"/>
    <n v="9"/>
    <n v="0.50590000000000002"/>
  </r>
  <r>
    <x v="4"/>
    <n v="11"/>
    <n v="0.19520000000000001"/>
  </r>
  <r>
    <x v="4"/>
    <n v="12"/>
    <n v="0.21640000000000001"/>
  </r>
  <r>
    <x v="4"/>
    <n v="13"/>
    <n v="0.1245"/>
  </r>
  <r>
    <x v="4"/>
    <n v="15"/>
    <n v="0.11360000000000001"/>
  </r>
  <r>
    <x v="5"/>
    <n v="1"/>
    <n v="0.1242"/>
  </r>
  <r>
    <x v="5"/>
    <n v="2"/>
    <n v="0.85619999999999996"/>
  </r>
  <r>
    <x v="5"/>
    <n v="3"/>
    <n v="0.11550000000000001"/>
  </r>
  <r>
    <x v="5"/>
    <n v="5"/>
    <n v="0.74739999999999995"/>
  </r>
  <r>
    <x v="5"/>
    <n v="8"/>
    <n v="0.57679999999999998"/>
  </r>
  <r>
    <x v="5"/>
    <n v="9"/>
    <n v="0.66210000000000002"/>
  </r>
  <r>
    <x v="5"/>
    <n v="10"/>
    <n v="0.19359999999999999"/>
  </r>
  <r>
    <x v="5"/>
    <n v="12"/>
    <n v="0.20830000000000001"/>
  </r>
  <r>
    <x v="5"/>
    <n v="15"/>
    <n v="0.1981"/>
  </r>
  <r>
    <x v="6"/>
    <n v="10"/>
    <n v="0.124"/>
  </r>
  <r>
    <x v="6"/>
    <n v="13"/>
    <n v="0.31419999999999998"/>
  </r>
  <r>
    <x v="7"/>
    <n v="0"/>
    <n v="0.2727"/>
  </r>
  <r>
    <x v="7"/>
    <n v="2"/>
    <n v="0.1381"/>
  </r>
  <r>
    <x v="7"/>
    <n v="5"/>
    <n v="0.1285"/>
  </r>
  <r>
    <x v="7"/>
    <n v="15"/>
    <n v="0.1303"/>
  </r>
  <r>
    <x v="8"/>
    <n v="5"/>
    <n v="0.63949999999999996"/>
  </r>
  <r>
    <x v="8"/>
    <n v="7"/>
    <n v="0.1794"/>
  </r>
  <r>
    <x v="8"/>
    <n v="13"/>
    <n v="0.14749999999999999"/>
  </r>
  <r>
    <x v="9"/>
    <n v="10"/>
    <n v="0.1414"/>
  </r>
  <r>
    <x v="9"/>
    <n v="14"/>
    <n v="0.13239999999999999"/>
  </r>
  <r>
    <x v="10"/>
    <n v="4"/>
    <n v="0.2772"/>
  </r>
  <r>
    <x v="11"/>
    <n v="11"/>
    <n v="0.1439"/>
  </r>
  <r>
    <x v="11"/>
    <n v="12"/>
    <n v="0.13020000000000001"/>
  </r>
  <r>
    <x v="12"/>
    <n v="1"/>
    <n v="0.12590000000000001"/>
  </r>
  <r>
    <x v="13"/>
    <n v="2"/>
    <n v="0.20660000000000001"/>
  </r>
  <r>
    <x v="13"/>
    <n v="3"/>
    <n v="0.18820000000000001"/>
  </r>
  <r>
    <x v="14"/>
    <n v="1"/>
    <n v="0.10050000000000001"/>
  </r>
  <r>
    <x v="15"/>
    <n v="0"/>
    <n v="0.37140000000000001"/>
  </r>
  <r>
    <x v="15"/>
    <n v="2"/>
    <n v="0.22159999999999999"/>
  </r>
  <r>
    <x v="15"/>
    <n v="7"/>
    <n v="0.1295"/>
  </r>
  <r>
    <x v="16"/>
    <n v="2"/>
    <n v="0.33150000000000002"/>
  </r>
  <r>
    <x v="16"/>
    <n v="3"/>
    <n v="0.122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n v="0"/>
    <n v="0.1406"/>
  </r>
  <r>
    <x v="0"/>
    <n v="2"/>
    <n v="0.29430000000000001"/>
  </r>
  <r>
    <x v="0"/>
    <n v="3"/>
    <n v="0.3483"/>
  </r>
  <r>
    <x v="0"/>
    <n v="4"/>
    <n v="0.10100000000000001"/>
  </r>
  <r>
    <x v="0"/>
    <n v="5"/>
    <n v="0.70720000000000005"/>
  </r>
  <r>
    <x v="0"/>
    <n v="9"/>
    <n v="0.27910000000000001"/>
  </r>
  <r>
    <x v="0"/>
    <n v="11"/>
    <n v="0.63300000000000001"/>
  </r>
  <r>
    <x v="0"/>
    <n v="12"/>
    <n v="0.36080000000000001"/>
  </r>
  <r>
    <x v="0"/>
    <n v="14"/>
    <n v="0.2445"/>
  </r>
  <r>
    <x v="0"/>
    <n v="15"/>
    <n v="0.2213"/>
  </r>
  <r>
    <x v="0"/>
    <n v="17"/>
    <n v="0.1177"/>
  </r>
  <r>
    <x v="0"/>
    <n v="18"/>
    <n v="0.15040000000000001"/>
  </r>
  <r>
    <x v="0"/>
    <n v="21"/>
    <n v="0.30740000000000001"/>
  </r>
  <r>
    <x v="0"/>
    <n v="24"/>
    <n v="0.36380000000000001"/>
  </r>
  <r>
    <x v="0"/>
    <n v="25"/>
    <n v="0.13519999999999999"/>
  </r>
  <r>
    <x v="0"/>
    <n v="27"/>
    <n v="0.37069999999999997"/>
  </r>
  <r>
    <x v="0"/>
    <n v="30"/>
    <n v="0.5252"/>
  </r>
  <r>
    <x v="0"/>
    <n v="31"/>
    <n v="0.43559999999999999"/>
  </r>
  <r>
    <x v="1"/>
    <n v="0"/>
    <n v="0.17199999999999999"/>
  </r>
  <r>
    <x v="1"/>
    <n v="1"/>
    <n v="0.3296"/>
  </r>
  <r>
    <x v="1"/>
    <n v="2"/>
    <n v="0.79049999999999998"/>
  </r>
  <r>
    <x v="1"/>
    <n v="3"/>
    <n v="0.51919999999999999"/>
  </r>
  <r>
    <x v="1"/>
    <n v="4"/>
    <n v="0.16719999999999999"/>
  </r>
  <r>
    <x v="1"/>
    <n v="6"/>
    <n v="0.96009999999999995"/>
  </r>
  <r>
    <x v="1"/>
    <n v="7"/>
    <n v="0.55110000000000003"/>
  </r>
  <r>
    <x v="1"/>
    <n v="8"/>
    <n v="0.90639999999999998"/>
  </r>
  <r>
    <x v="1"/>
    <n v="9"/>
    <n v="0.1686"/>
  </r>
  <r>
    <x v="1"/>
    <n v="11"/>
    <n v="0.31430000000000002"/>
  </r>
  <r>
    <x v="1"/>
    <n v="12"/>
    <n v="0.24809999999999999"/>
  </r>
  <r>
    <x v="1"/>
    <n v="13"/>
    <n v="0.73850000000000005"/>
  </r>
  <r>
    <x v="1"/>
    <n v="14"/>
    <n v="0.74209999999999998"/>
  </r>
  <r>
    <x v="1"/>
    <n v="15"/>
    <n v="0.59019999999999995"/>
  </r>
  <r>
    <x v="1"/>
    <n v="16"/>
    <n v="0.27550000000000002"/>
  </r>
  <r>
    <x v="1"/>
    <n v="17"/>
    <n v="0.17"/>
  </r>
  <r>
    <x v="1"/>
    <n v="18"/>
    <n v="0.86960000000000004"/>
  </r>
  <r>
    <x v="1"/>
    <n v="19"/>
    <n v="0.51349999999999996"/>
  </r>
  <r>
    <x v="1"/>
    <n v="20"/>
    <n v="0.91259999999999997"/>
  </r>
  <r>
    <x v="1"/>
    <n v="22"/>
    <n v="0.14849999999999999"/>
  </r>
  <r>
    <x v="1"/>
    <n v="23"/>
    <n v="0.21160000000000001"/>
  </r>
  <r>
    <x v="1"/>
    <n v="24"/>
    <n v="0.38779999999999998"/>
  </r>
  <r>
    <x v="1"/>
    <n v="25"/>
    <n v="0.58450000000000002"/>
  </r>
  <r>
    <x v="1"/>
    <n v="27"/>
    <n v="0.68489999999999995"/>
  </r>
  <r>
    <x v="1"/>
    <n v="28"/>
    <n v="0.58240000000000003"/>
  </r>
  <r>
    <x v="1"/>
    <n v="30"/>
    <n v="0.43840000000000001"/>
  </r>
  <r>
    <x v="2"/>
    <n v="5"/>
    <n v="0.84109999999999996"/>
  </r>
  <r>
    <x v="2"/>
    <n v="6"/>
    <n v="0.25890000000000002"/>
  </r>
  <r>
    <x v="2"/>
    <n v="7"/>
    <n v="0.32950000000000002"/>
  </r>
  <r>
    <x v="2"/>
    <n v="8"/>
    <n v="0.96930000000000005"/>
  </r>
  <r>
    <x v="2"/>
    <n v="9"/>
    <n v="0.34889999999999999"/>
  </r>
  <r>
    <x v="2"/>
    <n v="10"/>
    <n v="0.96930000000000005"/>
  </r>
  <r>
    <x v="2"/>
    <n v="11"/>
    <n v="0.216"/>
  </r>
  <r>
    <x v="2"/>
    <n v="12"/>
    <n v="0.32440000000000002"/>
  </r>
  <r>
    <x v="2"/>
    <n v="13"/>
    <n v="0.24260000000000001"/>
  </r>
  <r>
    <x v="2"/>
    <n v="14"/>
    <n v="0.1331"/>
  </r>
  <r>
    <x v="2"/>
    <n v="15"/>
    <n v="0.111"/>
  </r>
  <r>
    <x v="2"/>
    <n v="16"/>
    <n v="0.85770000000000002"/>
  </r>
  <r>
    <x v="2"/>
    <n v="18"/>
    <n v="0.98599999999999999"/>
  </r>
  <r>
    <x v="2"/>
    <n v="20"/>
    <n v="0.26119999999999999"/>
  </r>
  <r>
    <x v="2"/>
    <n v="21"/>
    <n v="0.1741"/>
  </r>
  <r>
    <x v="2"/>
    <n v="22"/>
    <n v="0.84989999999999999"/>
  </r>
  <r>
    <x v="2"/>
    <n v="24"/>
    <n v="0.22259999999999999"/>
  </r>
  <r>
    <x v="2"/>
    <n v="25"/>
    <n v="0.1855"/>
  </r>
  <r>
    <x v="2"/>
    <n v="28"/>
    <n v="0.22170000000000001"/>
  </r>
  <r>
    <x v="2"/>
    <n v="31"/>
    <n v="0.48949999999999999"/>
  </r>
  <r>
    <x v="3"/>
    <n v="2"/>
    <n v="0.76280000000000003"/>
  </r>
  <r>
    <x v="3"/>
    <n v="3"/>
    <n v="0.4244"/>
  </r>
  <r>
    <x v="3"/>
    <n v="7"/>
    <n v="0.84099999999999997"/>
  </r>
  <r>
    <x v="3"/>
    <n v="9"/>
    <n v="0.2102"/>
  </r>
  <r>
    <x v="3"/>
    <n v="10"/>
    <n v="0.30109999999999998"/>
  </r>
  <r>
    <x v="3"/>
    <n v="14"/>
    <n v="0.94089999999999996"/>
  </r>
  <r>
    <x v="3"/>
    <n v="21"/>
    <n v="0.20180000000000001"/>
  </r>
  <r>
    <x v="3"/>
    <n v="22"/>
    <n v="0.27910000000000001"/>
  </r>
  <r>
    <x v="3"/>
    <n v="23"/>
    <n v="0.93689999999999996"/>
  </r>
  <r>
    <x v="3"/>
    <n v="24"/>
    <n v="0.25669999999999998"/>
  </r>
  <r>
    <x v="3"/>
    <n v="26"/>
    <n v="0.37680000000000002"/>
  </r>
  <r>
    <x v="3"/>
    <n v="29"/>
    <n v="0.79979999999999996"/>
  </r>
  <r>
    <x v="3"/>
    <n v="30"/>
    <n v="0.1123"/>
  </r>
  <r>
    <x v="4"/>
    <n v="8"/>
    <n v="0.2218"/>
  </r>
  <r>
    <x v="4"/>
    <n v="9"/>
    <n v="0.50360000000000005"/>
  </r>
  <r>
    <x v="4"/>
    <n v="10"/>
    <n v="0.23749999999999999"/>
  </r>
  <r>
    <x v="4"/>
    <n v="12"/>
    <n v="0.63739999999999997"/>
  </r>
  <r>
    <x v="4"/>
    <n v="26"/>
    <n v="0.1489"/>
  </r>
  <r>
    <x v="4"/>
    <n v="27"/>
    <n v="0.40239999999999998"/>
  </r>
  <r>
    <x v="4"/>
    <n v="31"/>
    <n v="0.44009999999999999"/>
  </r>
  <r>
    <x v="5"/>
    <n v="10"/>
    <n v="0.74460000000000004"/>
  </r>
  <r>
    <x v="5"/>
    <n v="12"/>
    <n v="0.11"/>
  </r>
  <r>
    <x v="5"/>
    <n v="31"/>
    <n v="0.106"/>
  </r>
  <r>
    <x v="6"/>
    <n v="9"/>
    <n v="0.57389999999999997"/>
  </r>
  <r>
    <x v="6"/>
    <n v="27"/>
    <n v="0.1321"/>
  </r>
  <r>
    <x v="6"/>
    <n v="31"/>
    <n v="0.29070000000000001"/>
  </r>
  <r>
    <x v="7"/>
    <n v="28"/>
    <n v="0.22539999999999999"/>
  </r>
  <r>
    <x v="8"/>
    <n v="6"/>
    <n v="0.34889999999999999"/>
  </r>
  <r>
    <x v="9"/>
    <n v="3"/>
    <n v="0.32229999999999998"/>
  </r>
  <r>
    <x v="10"/>
    <n v="14"/>
    <n v="0.2094"/>
  </r>
  <r>
    <x v="10"/>
    <n v="24"/>
    <n v="0.71889999999999998"/>
  </r>
  <r>
    <x v="11"/>
    <n v="24"/>
    <n v="0.19489999999999999"/>
  </r>
  <r>
    <x v="11"/>
    <n v="27"/>
    <n v="0.11459999999999999"/>
  </r>
  <r>
    <x v="12"/>
    <n v="14"/>
    <n v="0.27379999999999999"/>
  </r>
  <r>
    <x v="13"/>
    <n v="0"/>
    <n v="0.24099999999999999"/>
  </r>
  <r>
    <x v="14"/>
    <n v="24"/>
    <n v="0.10920000000000001"/>
  </r>
  <r>
    <x v="15"/>
    <n v="12"/>
    <n v="0.77659999999999996"/>
  </r>
  <r>
    <x v="16"/>
    <n v="0"/>
    <n v="0.20830000000000001"/>
  </r>
  <r>
    <x v="17"/>
    <n v="1"/>
    <n v="0.1336"/>
  </r>
  <r>
    <x v="17"/>
    <n v="13"/>
    <n v="0.17730000000000001"/>
  </r>
  <r>
    <x v="18"/>
    <n v="3"/>
    <n v="0.191"/>
  </r>
  <r>
    <x v="18"/>
    <n v="7"/>
    <n v="0.31319999999999998"/>
  </r>
  <r>
    <x v="18"/>
    <n v="13"/>
    <n v="0.15820000000000001"/>
  </r>
  <r>
    <x v="19"/>
    <n v="16"/>
    <n v="0.1236"/>
  </r>
  <r>
    <x v="19"/>
    <n v="19"/>
    <n v="0.10780000000000001"/>
  </r>
  <r>
    <x v="20"/>
    <n v="0"/>
    <n v="0.10970000000000001"/>
  </r>
  <r>
    <x v="21"/>
    <n v="20"/>
    <n v="0.18179999999999999"/>
  </r>
  <r>
    <x v="22"/>
    <n v="0"/>
    <n v="0.21829999999999999"/>
  </r>
  <r>
    <x v="22"/>
    <n v="11"/>
    <n v="0.501"/>
  </r>
  <r>
    <x v="22"/>
    <n v="18"/>
    <n v="0.27810000000000001"/>
  </r>
  <r>
    <x v="23"/>
    <n v="17"/>
    <n v="0.14510000000000001"/>
  </r>
  <r>
    <x v="23"/>
    <n v="20"/>
    <n v="0.65129999999999999"/>
  </r>
  <r>
    <x v="23"/>
    <n v="25"/>
    <n v="0.28160000000000002"/>
  </r>
  <r>
    <x v="24"/>
    <n v="8"/>
    <n v="0.13420000000000001"/>
  </r>
  <r>
    <x v="24"/>
    <n v="14"/>
    <n v="0.1341"/>
  </r>
  <r>
    <x v="24"/>
    <n v="15"/>
    <n v="0.26679999999999998"/>
  </r>
  <r>
    <x v="25"/>
    <n v="5"/>
    <n v="0.15840000000000001"/>
  </r>
  <r>
    <x v="25"/>
    <n v="29"/>
    <n v="0.73270000000000002"/>
  </r>
  <r>
    <x v="25"/>
    <n v="31"/>
    <n v="0.2159000000000000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n v="0"/>
    <n v="0.62809999999999999"/>
  </r>
  <r>
    <x v="0"/>
    <n v="2"/>
    <n v="0.4078"/>
  </r>
  <r>
    <x v="0"/>
    <n v="4"/>
    <n v="0.16259999999999999"/>
  </r>
  <r>
    <x v="0"/>
    <n v="6"/>
    <n v="0.15629999999999999"/>
  </r>
  <r>
    <x v="0"/>
    <n v="8"/>
    <n v="0.27079999999999999"/>
  </r>
  <r>
    <x v="0"/>
    <n v="9"/>
    <n v="0.11509999999999999"/>
  </r>
  <r>
    <x v="1"/>
    <n v="0"/>
    <n v="0.28289999999999998"/>
  </r>
  <r>
    <x v="1"/>
    <n v="1"/>
    <n v="0.73370000000000002"/>
  </r>
  <r>
    <x v="1"/>
    <n v="2"/>
    <n v="0.62709999999999999"/>
  </r>
  <r>
    <x v="1"/>
    <n v="3"/>
    <n v="0.29649999999999999"/>
  </r>
  <r>
    <x v="1"/>
    <n v="5"/>
    <n v="0.248"/>
  </r>
  <r>
    <x v="1"/>
    <n v="7"/>
    <n v="0.44500000000000001"/>
  </r>
  <r>
    <x v="1"/>
    <n v="11"/>
    <n v="0.14380000000000001"/>
  </r>
  <r>
    <x v="2"/>
    <n v="1"/>
    <n v="0.14180000000000001"/>
  </r>
  <r>
    <x v="2"/>
    <n v="2"/>
    <n v="0.35049999999999998"/>
  </r>
  <r>
    <x v="2"/>
    <n v="3"/>
    <n v="0.44600000000000001"/>
  </r>
  <r>
    <x v="2"/>
    <n v="4"/>
    <n v="0.1474"/>
  </r>
  <r>
    <x v="2"/>
    <n v="5"/>
    <n v="0.22739999999999999"/>
  </r>
  <r>
    <x v="2"/>
    <n v="6"/>
    <n v="0.26929999999999998"/>
  </r>
  <r>
    <x v="2"/>
    <n v="7"/>
    <n v="0.1002"/>
  </r>
  <r>
    <x v="2"/>
    <n v="8"/>
    <n v="0.54590000000000005"/>
  </r>
  <r>
    <x v="2"/>
    <n v="9"/>
    <n v="0.46439999999999998"/>
  </r>
  <r>
    <x v="2"/>
    <n v="11"/>
    <n v="0.61950000000000005"/>
  </r>
  <r>
    <x v="3"/>
    <n v="0"/>
    <n v="0.92430000000000001"/>
  </r>
  <r>
    <x v="3"/>
    <n v="2"/>
    <n v="0.91559999999999997"/>
  </r>
  <r>
    <x v="3"/>
    <n v="4"/>
    <n v="0.29780000000000001"/>
  </r>
  <r>
    <x v="3"/>
    <n v="7"/>
    <n v="0.2039"/>
  </r>
  <r>
    <x v="3"/>
    <n v="9"/>
    <n v="0.26300000000000001"/>
  </r>
  <r>
    <x v="3"/>
    <n v="10"/>
    <n v="0.311"/>
  </r>
  <r>
    <x v="4"/>
    <n v="2"/>
    <n v="0.13109999999999999"/>
  </r>
  <r>
    <x v="4"/>
    <n v="9"/>
    <n v="0.43359999999999999"/>
  </r>
  <r>
    <x v="5"/>
    <n v="1"/>
    <n v="0.21199999999999999"/>
  </r>
  <r>
    <x v="5"/>
    <n v="8"/>
    <n v="0.21410000000000001"/>
  </r>
  <r>
    <x v="5"/>
    <n v="11"/>
    <n v="0.22700000000000001"/>
  </r>
  <r>
    <x v="6"/>
    <n v="2"/>
    <n v="0.34289999999999998"/>
  </r>
  <r>
    <x v="6"/>
    <n v="3"/>
    <n v="0.11749999999999999"/>
  </r>
  <r>
    <x v="6"/>
    <n v="4"/>
    <n v="0.11119999999999999"/>
  </r>
  <r>
    <x v="6"/>
    <n v="5"/>
    <n v="0.14879999999999999"/>
  </r>
  <r>
    <x v="7"/>
    <n v="7"/>
    <n v="0.67430000000000001"/>
  </r>
  <r>
    <x v="7"/>
    <n v="8"/>
    <n v="0.16189999999999999"/>
  </r>
  <r>
    <x v="8"/>
    <n v="10"/>
    <n v="0.1575"/>
  </r>
  <r>
    <x v="9"/>
    <n v="3"/>
    <n v="0.1883"/>
  </r>
  <r>
    <x v="10"/>
    <n v="9"/>
    <n v="0.11269999999999999"/>
  </r>
  <r>
    <x v="11"/>
    <n v="0"/>
    <n v="0.43230000000000002"/>
  </r>
  <r>
    <x v="11"/>
    <n v="6"/>
    <n v="0.97119999999999995"/>
  </r>
  <r>
    <x v="11"/>
    <n v="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40DB-707F-A54A-8BB4-AFADC1D15944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14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DFF73-92B8-0740-A6B4-3B46EC9403F1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19" firstHeaderRow="1" firstDataRow="1" firstDataCol="1"/>
  <pivotFields count="3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7BE44-ADA8-6240-85A0-7C941AF89FC7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12" firstHeaderRow="1" firstDataRow="1" firstDataCol="1"/>
  <pivotFields count="3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FD2AD-F1CF-1147-BA80-96CBA00E7D67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27" firstHeaderRow="1" firstDataRow="1" firstDataCol="1"/>
  <pivotFields count="3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33390-85E7-F641-B9F3-4F440186A8FE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28" firstHeaderRow="1" firstDataRow="1" firstDataCol="1"/>
  <pivotFields count="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4A439-8169-7647-B62D-7D8F47A9A90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28" firstHeaderRow="1" firstDataRow="1" firstDataCol="1"/>
  <pivotFields count="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he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23D455-C39D-9D46-902A-D5B7B2811F4F}" name="Table6" displayName="Table6" ref="A1:C47" totalsRowShown="0">
  <autoFilter ref="A1:C47" xr:uid="{6123D455-C39D-9D46-902A-D5B7B2811F4F}"/>
  <tableColumns count="3">
    <tableColumn id="1" xr3:uid="{39C7CE34-F722-CB47-95D2-65C10BFB0A22}" name="layer"/>
    <tableColumn id="2" xr3:uid="{C27C9E84-7C0D-B341-92B8-AFE9DB489E10}" name="head"/>
    <tableColumn id="3" xr3:uid="{A1C51D77-7A8C-1B46-8915-A502AA5679F1}" name="reader_to_scre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8E7173-7DB1-BF4F-9780-41DEE551F731}" name="Table4" displayName="Table4" ref="A1:C72" totalsRowShown="0">
  <autoFilter ref="A1:C72" xr:uid="{C48E7173-7DB1-BF4F-9780-41DEE551F731}"/>
  <tableColumns count="3">
    <tableColumn id="1" xr3:uid="{A46ADDC0-45B6-824E-88A1-3948645F4A0A}" name="layer"/>
    <tableColumn id="2" xr3:uid="{AF21BDF8-FD2F-BA48-809A-71B2859225F3}" name="head"/>
    <tableColumn id="3" xr3:uid="{6ECC67FC-C02D-4248-A7D0-6393DEDB5AB5}" name="reader_to_scre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33ACA-2B6E-F047-95EA-F8C902445077}" name="Table2" displayName="Table2" ref="A1:C29" totalsRowShown="0">
  <autoFilter ref="A1:C29" xr:uid="{3E933ACA-2B6E-F047-95EA-F8C902445077}"/>
  <tableColumns count="3">
    <tableColumn id="1" xr3:uid="{27BF60C0-E222-9746-A8E0-820572F4AED7}" name="layer"/>
    <tableColumn id="2" xr3:uid="{B91AB128-CB53-ED43-9391-C019F16A7C60}" name="head"/>
    <tableColumn id="3" xr3:uid="{CCEC778E-F46C-A842-966A-293A38F5CD19}" name="reader_to_scre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6D5C1-B8AA-EB4F-93B9-E19689A59979}" name="Table3" displayName="Table3" ref="A1:C102" totalsRowShown="0">
  <autoFilter ref="A1:C102" xr:uid="{7196D5C1-B8AA-EB4F-93B9-E19689A59979}"/>
  <tableColumns count="3">
    <tableColumn id="1" xr3:uid="{64C86A8A-E053-4741-8CE3-6FADC8CBE20D}" name="layer"/>
    <tableColumn id="2" xr3:uid="{99EFADBB-7FEB-554D-B493-C10D06137F17}" name="head"/>
    <tableColumn id="3" xr3:uid="{21DF2269-F5B9-E744-B6A1-86C7F192064E}" name="reader_to_scre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383C06-8948-9649-B186-9C32D2D97D5E}" name="Table5" displayName="Table5" ref="A1:C124" totalsRowShown="0">
  <autoFilter ref="A1:C124" xr:uid="{73383C06-8948-9649-B186-9C32D2D97D5E}"/>
  <tableColumns count="3">
    <tableColumn id="1" xr3:uid="{AA45DDAC-C2E7-D34F-BEA2-105662472C81}" name="layer"/>
    <tableColumn id="2" xr3:uid="{61FB298B-2CBB-6349-A489-CD3A78B7078B}" name="head"/>
    <tableColumn id="3" xr3:uid="{E2A11A3D-FA74-5444-AF49-D154DAF60584}" name="reader_to_scre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FF71E-8EF3-1C4E-ACF7-C7593B3AE53B}" name="Table1" displayName="Table1" ref="A1:C120" totalsRowShown="0">
  <autoFilter ref="A1:C120" xr:uid="{0CFFF71E-8EF3-1C4E-ACF7-C7593B3AE53B}"/>
  <sortState xmlns:xlrd2="http://schemas.microsoft.com/office/spreadsheetml/2017/richdata2" ref="A2:C120">
    <sortCondition descending="1" ref="A1:A120"/>
  </sortState>
  <tableColumns count="3">
    <tableColumn id="1" xr3:uid="{80033261-524F-7940-ABDC-D779B70418EE}" name="layer"/>
    <tableColumn id="2" xr3:uid="{F002C788-B56D-4A4B-B8E2-7DEA2DD57F8C}" name="head"/>
    <tableColumn id="3" xr3:uid="{969BD088-EB72-3840-8329-824E4959A40F}" name="reader_to_scre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EC04B1-3BD9-0546-ACB7-5946CE0DE3F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929D-85AB-5643-A5E7-ABC557A04F26}">
  <dimension ref="A1:F14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8.33203125" customWidth="1"/>
    <col min="2" max="2" width="13.33203125" customWidth="1"/>
    <col min="3" max="6" width="41.6640625" customWidth="1"/>
  </cols>
  <sheetData>
    <row r="1" spans="1:6" ht="17" x14ac:dyDescent="0.2">
      <c r="A1" s="145" t="s">
        <v>207</v>
      </c>
      <c r="B1" s="143" t="s">
        <v>208</v>
      </c>
      <c r="C1" s="144" t="s">
        <v>209</v>
      </c>
      <c r="D1" s="144" t="s">
        <v>210</v>
      </c>
      <c r="E1" s="144" t="s">
        <v>211</v>
      </c>
      <c r="F1" s="148" t="s">
        <v>212</v>
      </c>
    </row>
    <row r="2" spans="1:6" ht="68" x14ac:dyDescent="0.2">
      <c r="A2" s="146">
        <v>1</v>
      </c>
      <c r="B2" s="139">
        <v>46096</v>
      </c>
      <c r="C2" s="140" t="s">
        <v>213</v>
      </c>
      <c r="D2" s="140" t="s">
        <v>214</v>
      </c>
      <c r="E2" s="140" t="s">
        <v>215</v>
      </c>
      <c r="F2" s="149" t="s">
        <v>216</v>
      </c>
    </row>
    <row r="3" spans="1:6" ht="85" x14ac:dyDescent="0.2">
      <c r="A3" s="146">
        <v>2</v>
      </c>
      <c r="B3" s="139">
        <v>46096</v>
      </c>
      <c r="C3" s="140" t="s">
        <v>217</v>
      </c>
      <c r="D3" s="140" t="s">
        <v>218</v>
      </c>
      <c r="E3" s="140" t="s">
        <v>219</v>
      </c>
      <c r="F3" s="149" t="s">
        <v>220</v>
      </c>
    </row>
    <row r="4" spans="1:6" ht="136" x14ac:dyDescent="0.2">
      <c r="A4" s="146">
        <v>3</v>
      </c>
      <c r="B4" s="139">
        <v>46096</v>
      </c>
      <c r="C4" s="140" t="s">
        <v>221</v>
      </c>
      <c r="D4" s="140" t="s">
        <v>222</v>
      </c>
      <c r="E4" s="140" t="s">
        <v>223</v>
      </c>
      <c r="F4" s="149" t="s">
        <v>224</v>
      </c>
    </row>
    <row r="5" spans="1:6" ht="68" x14ac:dyDescent="0.2">
      <c r="A5" s="146">
        <v>4</v>
      </c>
      <c r="B5" s="139">
        <v>46096</v>
      </c>
      <c r="C5" s="140" t="s">
        <v>225</v>
      </c>
      <c r="D5" s="140" t="s">
        <v>226</v>
      </c>
      <c r="E5" s="140" t="s">
        <v>227</v>
      </c>
      <c r="F5" s="149" t="s">
        <v>228</v>
      </c>
    </row>
    <row r="6" spans="1:6" ht="68" x14ac:dyDescent="0.2">
      <c r="A6" s="146">
        <v>5</v>
      </c>
      <c r="B6" s="139">
        <v>46096</v>
      </c>
      <c r="C6" s="140" t="s">
        <v>229</v>
      </c>
      <c r="D6" s="140" t="s">
        <v>230</v>
      </c>
      <c r="E6" s="140" t="s">
        <v>231</v>
      </c>
      <c r="F6" s="149" t="s">
        <v>232</v>
      </c>
    </row>
    <row r="7" spans="1:6" ht="85" x14ac:dyDescent="0.2">
      <c r="A7" s="146">
        <v>6</v>
      </c>
      <c r="B7" s="139">
        <v>46096</v>
      </c>
      <c r="C7" s="140" t="s">
        <v>233</v>
      </c>
      <c r="D7" s="140" t="s">
        <v>234</v>
      </c>
      <c r="E7" s="140" t="s">
        <v>235</v>
      </c>
      <c r="F7" s="149" t="s">
        <v>228</v>
      </c>
    </row>
    <row r="8" spans="1:6" ht="136" x14ac:dyDescent="0.2">
      <c r="A8" s="146">
        <v>7</v>
      </c>
      <c r="B8" s="139">
        <v>46096</v>
      </c>
      <c r="C8" s="140" t="s">
        <v>236</v>
      </c>
      <c r="D8" s="140" t="s">
        <v>237</v>
      </c>
      <c r="E8" s="140" t="s">
        <v>238</v>
      </c>
      <c r="F8" s="149" t="s">
        <v>239</v>
      </c>
    </row>
    <row r="9" spans="1:6" ht="119" x14ac:dyDescent="0.2">
      <c r="A9" s="146">
        <v>8</v>
      </c>
      <c r="B9" s="139">
        <v>46096</v>
      </c>
      <c r="C9" s="140" t="s">
        <v>240</v>
      </c>
      <c r="D9" s="140" t="s">
        <v>241</v>
      </c>
      <c r="E9" s="140" t="s">
        <v>242</v>
      </c>
      <c r="F9" s="149" t="s">
        <v>243</v>
      </c>
    </row>
    <row r="10" spans="1:6" ht="102" x14ac:dyDescent="0.2">
      <c r="A10" s="146">
        <v>9</v>
      </c>
      <c r="B10" s="139">
        <v>46096</v>
      </c>
      <c r="C10" s="140" t="s">
        <v>244</v>
      </c>
      <c r="D10" s="140" t="s">
        <v>245</v>
      </c>
      <c r="E10" s="140" t="s">
        <v>246</v>
      </c>
      <c r="F10" s="149" t="s">
        <v>247</v>
      </c>
    </row>
    <row r="11" spans="1:6" ht="102" x14ac:dyDescent="0.2">
      <c r="A11" s="146">
        <v>10</v>
      </c>
      <c r="B11" s="139">
        <v>46096</v>
      </c>
      <c r="C11" s="140" t="s">
        <v>248</v>
      </c>
      <c r="D11" s="140" t="s">
        <v>249</v>
      </c>
      <c r="E11" s="140" t="s">
        <v>250</v>
      </c>
      <c r="F11" s="149" t="s">
        <v>251</v>
      </c>
    </row>
    <row r="12" spans="1:6" ht="68" x14ac:dyDescent="0.2">
      <c r="A12" s="146">
        <v>11</v>
      </c>
      <c r="B12" s="139">
        <v>46096</v>
      </c>
      <c r="C12" s="140" t="s">
        <v>252</v>
      </c>
      <c r="D12" s="140" t="s">
        <v>253</v>
      </c>
      <c r="E12" s="140" t="s">
        <v>254</v>
      </c>
      <c r="F12" s="149" t="s">
        <v>255</v>
      </c>
    </row>
    <row r="13" spans="1:6" ht="119" x14ac:dyDescent="0.2">
      <c r="A13" s="147">
        <v>12</v>
      </c>
      <c r="B13" s="141">
        <v>46096</v>
      </c>
      <c r="C13" s="142" t="s">
        <v>256</v>
      </c>
      <c r="D13" s="142" t="s">
        <v>257</v>
      </c>
      <c r="E13" s="142" t="s">
        <v>258</v>
      </c>
      <c r="F13" s="150" t="s">
        <v>259</v>
      </c>
    </row>
    <row r="14" spans="1:6" ht="85" x14ac:dyDescent="0.2">
      <c r="A14" s="151">
        <v>13</v>
      </c>
      <c r="B14" s="138">
        <v>46096</v>
      </c>
      <c r="C14" s="152" t="s">
        <v>260</v>
      </c>
      <c r="D14" s="152" t="s">
        <v>261</v>
      </c>
      <c r="E14" s="152" t="s">
        <v>262</v>
      </c>
      <c r="F14" s="153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253C-FC43-7546-B219-1F0FE285B740}">
  <dimension ref="A1:G47"/>
  <sheetViews>
    <sheetView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0.62809999999999999</v>
      </c>
      <c r="F2" s="2">
        <v>0</v>
      </c>
      <c r="G2" s="3">
        <v>29</v>
      </c>
    </row>
    <row r="3" spans="1:7" x14ac:dyDescent="0.2">
      <c r="A3">
        <v>0</v>
      </c>
      <c r="B3">
        <v>2</v>
      </c>
      <c r="C3">
        <v>0.4078</v>
      </c>
      <c r="F3" s="2">
        <v>1</v>
      </c>
      <c r="G3" s="3">
        <v>29</v>
      </c>
    </row>
    <row r="4" spans="1:7" x14ac:dyDescent="0.2">
      <c r="A4">
        <v>0</v>
      </c>
      <c r="B4">
        <v>4</v>
      </c>
      <c r="C4">
        <v>0.16259999999999999</v>
      </c>
      <c r="F4" s="2">
        <v>2</v>
      </c>
      <c r="G4" s="3">
        <v>56</v>
      </c>
    </row>
    <row r="5" spans="1:7" x14ac:dyDescent="0.2">
      <c r="A5">
        <v>0</v>
      </c>
      <c r="B5">
        <v>6</v>
      </c>
      <c r="C5">
        <v>0.15629999999999999</v>
      </c>
      <c r="F5" s="2">
        <v>3</v>
      </c>
      <c r="G5" s="3">
        <v>32</v>
      </c>
    </row>
    <row r="6" spans="1:7" x14ac:dyDescent="0.2">
      <c r="A6">
        <v>0</v>
      </c>
      <c r="B6">
        <v>8</v>
      </c>
      <c r="C6">
        <v>0.27079999999999999</v>
      </c>
      <c r="F6" s="2">
        <v>4</v>
      </c>
      <c r="G6" s="3">
        <v>11</v>
      </c>
    </row>
    <row r="7" spans="1:7" x14ac:dyDescent="0.2">
      <c r="A7">
        <v>0</v>
      </c>
      <c r="B7">
        <v>9</v>
      </c>
      <c r="C7">
        <v>0.11509999999999999</v>
      </c>
      <c r="F7" s="2">
        <v>5</v>
      </c>
      <c r="G7" s="3">
        <v>20</v>
      </c>
    </row>
    <row r="8" spans="1:7" x14ac:dyDescent="0.2">
      <c r="A8">
        <v>1</v>
      </c>
      <c r="B8">
        <v>0</v>
      </c>
      <c r="C8">
        <v>0.28289999999999998</v>
      </c>
      <c r="F8" s="2">
        <v>6</v>
      </c>
      <c r="G8" s="3">
        <v>14</v>
      </c>
    </row>
    <row r="9" spans="1:7" x14ac:dyDescent="0.2">
      <c r="A9">
        <v>1</v>
      </c>
      <c r="B9">
        <v>1</v>
      </c>
      <c r="C9">
        <v>0.73370000000000002</v>
      </c>
      <c r="F9" s="2">
        <v>7</v>
      </c>
      <c r="G9" s="3">
        <v>15</v>
      </c>
    </row>
    <row r="10" spans="1:7" x14ac:dyDescent="0.2">
      <c r="A10">
        <v>1</v>
      </c>
      <c r="B10">
        <v>2</v>
      </c>
      <c r="C10">
        <v>0.62709999999999999</v>
      </c>
      <c r="F10" s="2">
        <v>8</v>
      </c>
      <c r="G10" s="3">
        <v>10</v>
      </c>
    </row>
    <row r="11" spans="1:7" x14ac:dyDescent="0.2">
      <c r="A11">
        <v>1</v>
      </c>
      <c r="B11">
        <v>3</v>
      </c>
      <c r="C11">
        <v>0.29649999999999999</v>
      </c>
      <c r="F11" s="2">
        <v>9</v>
      </c>
      <c r="G11" s="3">
        <v>3</v>
      </c>
    </row>
    <row r="12" spans="1:7" x14ac:dyDescent="0.2">
      <c r="A12">
        <v>1</v>
      </c>
      <c r="B12">
        <v>5</v>
      </c>
      <c r="C12">
        <v>0.248</v>
      </c>
      <c r="F12" s="2">
        <v>10</v>
      </c>
      <c r="G12" s="3">
        <v>9</v>
      </c>
    </row>
    <row r="13" spans="1:7" x14ac:dyDescent="0.2">
      <c r="A13">
        <v>1</v>
      </c>
      <c r="B13">
        <v>7</v>
      </c>
      <c r="C13">
        <v>0.44500000000000001</v>
      </c>
      <c r="F13" s="2">
        <v>11</v>
      </c>
      <c r="G13" s="3">
        <v>14</v>
      </c>
    </row>
    <row r="14" spans="1:7" x14ac:dyDescent="0.2">
      <c r="A14">
        <v>1</v>
      </c>
      <c r="B14">
        <v>11</v>
      </c>
      <c r="C14">
        <v>0.14380000000000001</v>
      </c>
      <c r="F14" s="2" t="s">
        <v>4</v>
      </c>
      <c r="G14" s="3">
        <v>242</v>
      </c>
    </row>
    <row r="15" spans="1:7" x14ac:dyDescent="0.2">
      <c r="A15">
        <v>2</v>
      </c>
      <c r="B15">
        <v>1</v>
      </c>
      <c r="C15">
        <v>0.14180000000000001</v>
      </c>
    </row>
    <row r="16" spans="1:7" x14ac:dyDescent="0.2">
      <c r="A16">
        <v>2</v>
      </c>
      <c r="B16">
        <v>2</v>
      </c>
      <c r="C16">
        <v>0.35049999999999998</v>
      </c>
    </row>
    <row r="17" spans="1:3" x14ac:dyDescent="0.2">
      <c r="A17">
        <v>2</v>
      </c>
      <c r="B17">
        <v>3</v>
      </c>
      <c r="C17">
        <v>0.44600000000000001</v>
      </c>
    </row>
    <row r="18" spans="1:3" x14ac:dyDescent="0.2">
      <c r="A18">
        <v>2</v>
      </c>
      <c r="B18">
        <v>4</v>
      </c>
      <c r="C18">
        <v>0.1474</v>
      </c>
    </row>
    <row r="19" spans="1:3" x14ac:dyDescent="0.2">
      <c r="A19">
        <v>2</v>
      </c>
      <c r="B19">
        <v>5</v>
      </c>
      <c r="C19">
        <v>0.22739999999999999</v>
      </c>
    </row>
    <row r="20" spans="1:3" x14ac:dyDescent="0.2">
      <c r="A20">
        <v>2</v>
      </c>
      <c r="B20">
        <v>6</v>
      </c>
      <c r="C20">
        <v>0.26929999999999998</v>
      </c>
    </row>
    <row r="21" spans="1:3" x14ac:dyDescent="0.2">
      <c r="A21">
        <v>2</v>
      </c>
      <c r="B21">
        <v>7</v>
      </c>
      <c r="C21">
        <v>0.1002</v>
      </c>
    </row>
    <row r="22" spans="1:3" x14ac:dyDescent="0.2">
      <c r="A22">
        <v>2</v>
      </c>
      <c r="B22">
        <v>8</v>
      </c>
      <c r="C22">
        <v>0.54590000000000005</v>
      </c>
    </row>
    <row r="23" spans="1:3" x14ac:dyDescent="0.2">
      <c r="A23">
        <v>2</v>
      </c>
      <c r="B23">
        <v>9</v>
      </c>
      <c r="C23">
        <v>0.46439999999999998</v>
      </c>
    </row>
    <row r="24" spans="1:3" x14ac:dyDescent="0.2">
      <c r="A24">
        <v>2</v>
      </c>
      <c r="B24">
        <v>11</v>
      </c>
      <c r="C24">
        <v>0.61950000000000005</v>
      </c>
    </row>
    <row r="25" spans="1:3" x14ac:dyDescent="0.2">
      <c r="A25">
        <v>3</v>
      </c>
      <c r="B25">
        <v>0</v>
      </c>
      <c r="C25">
        <v>0.92430000000000001</v>
      </c>
    </row>
    <row r="26" spans="1:3" x14ac:dyDescent="0.2">
      <c r="A26">
        <v>3</v>
      </c>
      <c r="B26">
        <v>2</v>
      </c>
      <c r="C26">
        <v>0.91559999999999997</v>
      </c>
    </row>
    <row r="27" spans="1:3" x14ac:dyDescent="0.2">
      <c r="A27">
        <v>3</v>
      </c>
      <c r="B27">
        <v>4</v>
      </c>
      <c r="C27">
        <v>0.29780000000000001</v>
      </c>
    </row>
    <row r="28" spans="1:3" x14ac:dyDescent="0.2">
      <c r="A28">
        <v>3</v>
      </c>
      <c r="B28">
        <v>7</v>
      </c>
      <c r="C28">
        <v>0.2039</v>
      </c>
    </row>
    <row r="29" spans="1:3" x14ac:dyDescent="0.2">
      <c r="A29">
        <v>3</v>
      </c>
      <c r="B29">
        <v>9</v>
      </c>
      <c r="C29">
        <v>0.26300000000000001</v>
      </c>
    </row>
    <row r="30" spans="1:3" x14ac:dyDescent="0.2">
      <c r="A30">
        <v>3</v>
      </c>
      <c r="B30">
        <v>10</v>
      </c>
      <c r="C30">
        <v>0.311</v>
      </c>
    </row>
    <row r="31" spans="1:3" x14ac:dyDescent="0.2">
      <c r="A31">
        <v>4</v>
      </c>
      <c r="B31">
        <v>2</v>
      </c>
      <c r="C31">
        <v>0.13109999999999999</v>
      </c>
    </row>
    <row r="32" spans="1:3" x14ac:dyDescent="0.2">
      <c r="A32">
        <v>4</v>
      </c>
      <c r="B32">
        <v>9</v>
      </c>
      <c r="C32">
        <v>0.43359999999999999</v>
      </c>
    </row>
    <row r="33" spans="1:3" x14ac:dyDescent="0.2">
      <c r="A33">
        <v>5</v>
      </c>
      <c r="B33">
        <v>1</v>
      </c>
      <c r="C33">
        <v>0.21199999999999999</v>
      </c>
    </row>
    <row r="34" spans="1:3" x14ac:dyDescent="0.2">
      <c r="A34">
        <v>5</v>
      </c>
      <c r="B34">
        <v>8</v>
      </c>
      <c r="C34">
        <v>0.21410000000000001</v>
      </c>
    </row>
    <row r="35" spans="1:3" x14ac:dyDescent="0.2">
      <c r="A35">
        <v>5</v>
      </c>
      <c r="B35">
        <v>11</v>
      </c>
      <c r="C35">
        <v>0.22700000000000001</v>
      </c>
    </row>
    <row r="36" spans="1:3" x14ac:dyDescent="0.2">
      <c r="A36">
        <v>6</v>
      </c>
      <c r="B36">
        <v>2</v>
      </c>
      <c r="C36">
        <v>0.34289999999999998</v>
      </c>
    </row>
    <row r="37" spans="1:3" x14ac:dyDescent="0.2">
      <c r="A37">
        <v>6</v>
      </c>
      <c r="B37">
        <v>3</v>
      </c>
      <c r="C37">
        <v>0.11749999999999999</v>
      </c>
    </row>
    <row r="38" spans="1:3" x14ac:dyDescent="0.2">
      <c r="A38">
        <v>6</v>
      </c>
      <c r="B38">
        <v>4</v>
      </c>
      <c r="C38">
        <v>0.11119999999999999</v>
      </c>
    </row>
    <row r="39" spans="1:3" x14ac:dyDescent="0.2">
      <c r="A39">
        <v>6</v>
      </c>
      <c r="B39">
        <v>5</v>
      </c>
      <c r="C39">
        <v>0.14879999999999999</v>
      </c>
    </row>
    <row r="40" spans="1:3" x14ac:dyDescent="0.2">
      <c r="A40">
        <v>7</v>
      </c>
      <c r="B40">
        <v>7</v>
      </c>
      <c r="C40">
        <v>0.67430000000000001</v>
      </c>
    </row>
    <row r="41" spans="1:3" x14ac:dyDescent="0.2">
      <c r="A41">
        <v>7</v>
      </c>
      <c r="B41">
        <v>8</v>
      </c>
      <c r="C41">
        <v>0.16189999999999999</v>
      </c>
    </row>
    <row r="42" spans="1:3" x14ac:dyDescent="0.2">
      <c r="A42">
        <v>8</v>
      </c>
      <c r="B42">
        <v>10</v>
      </c>
      <c r="C42">
        <v>0.1575</v>
      </c>
    </row>
    <row r="43" spans="1:3" x14ac:dyDescent="0.2">
      <c r="A43">
        <v>9</v>
      </c>
      <c r="B43">
        <v>3</v>
      </c>
      <c r="C43">
        <v>0.1883</v>
      </c>
    </row>
    <row r="44" spans="1:3" x14ac:dyDescent="0.2">
      <c r="A44">
        <v>10</v>
      </c>
      <c r="B44">
        <v>9</v>
      </c>
      <c r="C44">
        <v>0.11269999999999999</v>
      </c>
    </row>
    <row r="45" spans="1:3" x14ac:dyDescent="0.2">
      <c r="A45">
        <v>11</v>
      </c>
      <c r="B45">
        <v>0</v>
      </c>
      <c r="C45">
        <v>0.43230000000000002</v>
      </c>
    </row>
    <row r="46" spans="1:3" x14ac:dyDescent="0.2">
      <c r="A46">
        <v>11</v>
      </c>
      <c r="B46">
        <v>6</v>
      </c>
      <c r="C46">
        <v>0.97119999999999995</v>
      </c>
    </row>
    <row r="47" spans="1:3" x14ac:dyDescent="0.2">
      <c r="A47">
        <v>11</v>
      </c>
      <c r="B47">
        <v>8</v>
      </c>
      <c r="C47">
        <v>1</v>
      </c>
    </row>
  </sheetData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E5F3-930D-4446-9302-E9C60CDCBC53}">
  <dimension ref="A1:G72"/>
  <sheetViews>
    <sheetView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0.84540000000000004</v>
      </c>
      <c r="F2" s="2">
        <v>0</v>
      </c>
      <c r="G2" s="3">
        <v>33</v>
      </c>
    </row>
    <row r="3" spans="1:7" x14ac:dyDescent="0.2">
      <c r="A3">
        <v>0</v>
      </c>
      <c r="B3">
        <v>4</v>
      </c>
      <c r="C3">
        <v>0.1966</v>
      </c>
      <c r="F3" s="2">
        <v>1</v>
      </c>
      <c r="G3" s="3">
        <v>79</v>
      </c>
    </row>
    <row r="4" spans="1:7" x14ac:dyDescent="0.2">
      <c r="A4">
        <v>0</v>
      </c>
      <c r="B4">
        <v>6</v>
      </c>
      <c r="C4">
        <v>0.2611</v>
      </c>
      <c r="F4" s="2">
        <v>2</v>
      </c>
      <c r="G4" s="3">
        <v>56</v>
      </c>
    </row>
    <row r="5" spans="1:7" x14ac:dyDescent="0.2">
      <c r="A5">
        <v>0</v>
      </c>
      <c r="B5">
        <v>9</v>
      </c>
      <c r="C5">
        <v>0.2697</v>
      </c>
      <c r="F5" s="2">
        <v>3</v>
      </c>
      <c r="G5" s="3">
        <v>69</v>
      </c>
    </row>
    <row r="6" spans="1:7" x14ac:dyDescent="0.2">
      <c r="A6">
        <v>0</v>
      </c>
      <c r="B6">
        <v>14</v>
      </c>
      <c r="C6">
        <v>0.9758</v>
      </c>
      <c r="F6" s="2">
        <v>4</v>
      </c>
      <c r="G6" s="3">
        <v>69</v>
      </c>
    </row>
    <row r="7" spans="1:7" x14ac:dyDescent="0.2">
      <c r="A7">
        <v>1</v>
      </c>
      <c r="B7">
        <v>2</v>
      </c>
      <c r="C7">
        <v>0.65869999999999995</v>
      </c>
      <c r="F7" s="2">
        <v>5</v>
      </c>
      <c r="G7" s="3">
        <v>65</v>
      </c>
    </row>
    <row r="8" spans="1:7" x14ac:dyDescent="0.2">
      <c r="A8">
        <v>1</v>
      </c>
      <c r="B8">
        <v>3</v>
      </c>
      <c r="C8">
        <v>0.94040000000000001</v>
      </c>
      <c r="F8" s="2">
        <v>6</v>
      </c>
      <c r="G8" s="3">
        <v>23</v>
      </c>
    </row>
    <row r="9" spans="1:7" x14ac:dyDescent="0.2">
      <c r="A9">
        <v>1</v>
      </c>
      <c r="B9">
        <v>5</v>
      </c>
      <c r="C9">
        <v>0.1462</v>
      </c>
      <c r="F9" s="2">
        <v>8</v>
      </c>
      <c r="G9" s="3">
        <v>22</v>
      </c>
    </row>
    <row r="10" spans="1:7" x14ac:dyDescent="0.2">
      <c r="A10">
        <v>1</v>
      </c>
      <c r="B10">
        <v>6</v>
      </c>
      <c r="C10">
        <v>0.68779999999999997</v>
      </c>
      <c r="F10" s="2">
        <v>9</v>
      </c>
      <c r="G10" s="3">
        <v>25</v>
      </c>
    </row>
    <row r="11" spans="1:7" x14ac:dyDescent="0.2">
      <c r="A11">
        <v>1</v>
      </c>
      <c r="B11">
        <v>7</v>
      </c>
      <c r="C11">
        <v>0.33050000000000002</v>
      </c>
      <c r="F11" s="2">
        <v>10</v>
      </c>
      <c r="G11" s="3">
        <v>24</v>
      </c>
    </row>
    <row r="12" spans="1:7" x14ac:dyDescent="0.2">
      <c r="A12">
        <v>1</v>
      </c>
      <c r="B12">
        <v>9</v>
      </c>
      <c r="C12">
        <v>0.75980000000000003</v>
      </c>
      <c r="F12" s="2">
        <v>12</v>
      </c>
      <c r="G12" s="3">
        <v>4</v>
      </c>
    </row>
    <row r="13" spans="1:7" x14ac:dyDescent="0.2">
      <c r="A13">
        <v>1</v>
      </c>
      <c r="B13">
        <v>10</v>
      </c>
      <c r="C13">
        <v>0.80049999999999999</v>
      </c>
      <c r="F13" s="2">
        <v>15</v>
      </c>
      <c r="G13" s="3">
        <v>23</v>
      </c>
    </row>
    <row r="14" spans="1:7" x14ac:dyDescent="0.2">
      <c r="A14">
        <v>1</v>
      </c>
      <c r="B14">
        <v>11</v>
      </c>
      <c r="C14">
        <v>0.3266</v>
      </c>
      <c r="F14" s="2">
        <v>16</v>
      </c>
      <c r="G14" s="3">
        <v>1</v>
      </c>
    </row>
    <row r="15" spans="1:7" x14ac:dyDescent="0.2">
      <c r="A15">
        <v>1</v>
      </c>
      <c r="B15">
        <v>12</v>
      </c>
      <c r="C15">
        <v>0.38329999999999997</v>
      </c>
      <c r="F15" s="2">
        <v>19</v>
      </c>
      <c r="G15" s="3">
        <v>5</v>
      </c>
    </row>
    <row r="16" spans="1:7" x14ac:dyDescent="0.2">
      <c r="A16">
        <v>1</v>
      </c>
      <c r="B16">
        <v>14</v>
      </c>
      <c r="C16">
        <v>0.53059999999999996</v>
      </c>
      <c r="F16" s="2">
        <v>20</v>
      </c>
      <c r="G16" s="3">
        <v>1</v>
      </c>
    </row>
    <row r="17" spans="1:7" x14ac:dyDescent="0.2">
      <c r="A17">
        <v>2</v>
      </c>
      <c r="B17">
        <v>8</v>
      </c>
      <c r="C17">
        <v>0.66290000000000004</v>
      </c>
      <c r="F17" s="2">
        <v>21</v>
      </c>
      <c r="G17" s="3">
        <v>9</v>
      </c>
    </row>
    <row r="18" spans="1:7" x14ac:dyDescent="0.2">
      <c r="A18">
        <v>2</v>
      </c>
      <c r="B18">
        <v>9</v>
      </c>
      <c r="C18">
        <v>0.1535</v>
      </c>
      <c r="F18" s="2">
        <v>22</v>
      </c>
      <c r="G18" s="3">
        <v>5</v>
      </c>
    </row>
    <row r="19" spans="1:7" x14ac:dyDescent="0.2">
      <c r="A19">
        <v>2</v>
      </c>
      <c r="B19">
        <v>11</v>
      </c>
      <c r="C19">
        <v>0.39240000000000003</v>
      </c>
      <c r="F19" s="2" t="s">
        <v>4</v>
      </c>
      <c r="G19" s="3">
        <v>513</v>
      </c>
    </row>
    <row r="20" spans="1:7" x14ac:dyDescent="0.2">
      <c r="A20">
        <v>2</v>
      </c>
      <c r="B20">
        <v>13</v>
      </c>
      <c r="C20">
        <v>0.76380000000000003</v>
      </c>
    </row>
    <row r="21" spans="1:7" x14ac:dyDescent="0.2">
      <c r="A21">
        <v>2</v>
      </c>
      <c r="B21">
        <v>15</v>
      </c>
      <c r="C21">
        <v>0.10780000000000001</v>
      </c>
    </row>
    <row r="22" spans="1:7" x14ac:dyDescent="0.2">
      <c r="A22">
        <v>3</v>
      </c>
      <c r="B22">
        <v>1</v>
      </c>
      <c r="C22">
        <v>0.58989999999999998</v>
      </c>
    </row>
    <row r="23" spans="1:7" x14ac:dyDescent="0.2">
      <c r="A23">
        <v>3</v>
      </c>
      <c r="B23">
        <v>3</v>
      </c>
      <c r="C23">
        <v>0.86729999999999996</v>
      </c>
    </row>
    <row r="24" spans="1:7" x14ac:dyDescent="0.2">
      <c r="A24">
        <v>3</v>
      </c>
      <c r="B24">
        <v>4</v>
      </c>
      <c r="C24">
        <v>0.85189999999999999</v>
      </c>
    </row>
    <row r="25" spans="1:7" x14ac:dyDescent="0.2">
      <c r="A25">
        <v>3</v>
      </c>
      <c r="B25">
        <v>5</v>
      </c>
      <c r="C25">
        <v>0.78010000000000002</v>
      </c>
    </row>
    <row r="26" spans="1:7" x14ac:dyDescent="0.2">
      <c r="A26">
        <v>3</v>
      </c>
      <c r="B26">
        <v>6</v>
      </c>
      <c r="C26">
        <v>0.4294</v>
      </c>
    </row>
    <row r="27" spans="1:7" x14ac:dyDescent="0.2">
      <c r="A27">
        <v>3</v>
      </c>
      <c r="B27">
        <v>7</v>
      </c>
      <c r="C27">
        <v>0.24890000000000001</v>
      </c>
    </row>
    <row r="28" spans="1:7" x14ac:dyDescent="0.2">
      <c r="A28">
        <v>3</v>
      </c>
      <c r="B28">
        <v>8</v>
      </c>
      <c r="C28">
        <v>0.21390000000000001</v>
      </c>
    </row>
    <row r="29" spans="1:7" x14ac:dyDescent="0.2">
      <c r="A29">
        <v>3</v>
      </c>
      <c r="B29">
        <v>10</v>
      </c>
      <c r="C29">
        <v>0.53710000000000002</v>
      </c>
    </row>
    <row r="30" spans="1:7" x14ac:dyDescent="0.2">
      <c r="A30">
        <v>3</v>
      </c>
      <c r="B30">
        <v>12</v>
      </c>
      <c r="C30">
        <v>0.30630000000000002</v>
      </c>
    </row>
    <row r="31" spans="1:7" x14ac:dyDescent="0.2">
      <c r="A31">
        <v>3</v>
      </c>
      <c r="B31">
        <v>13</v>
      </c>
      <c r="C31">
        <v>0.95909999999999995</v>
      </c>
    </row>
    <row r="32" spans="1:7" x14ac:dyDescent="0.2">
      <c r="A32">
        <v>4</v>
      </c>
      <c r="B32">
        <v>0</v>
      </c>
      <c r="C32">
        <v>0.46660000000000001</v>
      </c>
    </row>
    <row r="33" spans="1:3" x14ac:dyDescent="0.2">
      <c r="A33">
        <v>4</v>
      </c>
      <c r="B33">
        <v>1</v>
      </c>
      <c r="C33">
        <v>0.16420000000000001</v>
      </c>
    </row>
    <row r="34" spans="1:3" x14ac:dyDescent="0.2">
      <c r="A34">
        <v>4</v>
      </c>
      <c r="B34">
        <v>2</v>
      </c>
      <c r="C34">
        <v>0.13450000000000001</v>
      </c>
    </row>
    <row r="35" spans="1:3" x14ac:dyDescent="0.2">
      <c r="A35">
        <v>4</v>
      </c>
      <c r="B35">
        <v>6</v>
      </c>
      <c r="C35">
        <v>0.29020000000000001</v>
      </c>
    </row>
    <row r="36" spans="1:3" x14ac:dyDescent="0.2">
      <c r="A36">
        <v>4</v>
      </c>
      <c r="B36">
        <v>9</v>
      </c>
      <c r="C36">
        <v>0.50590000000000002</v>
      </c>
    </row>
    <row r="37" spans="1:3" x14ac:dyDescent="0.2">
      <c r="A37">
        <v>4</v>
      </c>
      <c r="B37">
        <v>11</v>
      </c>
      <c r="C37">
        <v>0.19520000000000001</v>
      </c>
    </row>
    <row r="38" spans="1:3" x14ac:dyDescent="0.2">
      <c r="A38">
        <v>4</v>
      </c>
      <c r="B38">
        <v>12</v>
      </c>
      <c r="C38">
        <v>0.21640000000000001</v>
      </c>
    </row>
    <row r="39" spans="1:3" x14ac:dyDescent="0.2">
      <c r="A39">
        <v>4</v>
      </c>
      <c r="B39">
        <v>13</v>
      </c>
      <c r="C39">
        <v>0.1245</v>
      </c>
    </row>
    <row r="40" spans="1:3" x14ac:dyDescent="0.2">
      <c r="A40">
        <v>4</v>
      </c>
      <c r="B40">
        <v>15</v>
      </c>
      <c r="C40">
        <v>0.11360000000000001</v>
      </c>
    </row>
    <row r="41" spans="1:3" x14ac:dyDescent="0.2">
      <c r="A41">
        <v>5</v>
      </c>
      <c r="B41">
        <v>1</v>
      </c>
      <c r="C41">
        <v>0.1242</v>
      </c>
    </row>
    <row r="42" spans="1:3" x14ac:dyDescent="0.2">
      <c r="A42">
        <v>5</v>
      </c>
      <c r="B42">
        <v>2</v>
      </c>
      <c r="C42">
        <v>0.85619999999999996</v>
      </c>
    </row>
    <row r="43" spans="1:3" x14ac:dyDescent="0.2">
      <c r="A43">
        <v>5</v>
      </c>
      <c r="B43">
        <v>3</v>
      </c>
      <c r="C43">
        <v>0.11550000000000001</v>
      </c>
    </row>
    <row r="44" spans="1:3" x14ac:dyDescent="0.2">
      <c r="A44">
        <v>5</v>
      </c>
      <c r="B44">
        <v>5</v>
      </c>
      <c r="C44">
        <v>0.74739999999999995</v>
      </c>
    </row>
    <row r="45" spans="1:3" x14ac:dyDescent="0.2">
      <c r="A45">
        <v>5</v>
      </c>
      <c r="B45">
        <v>8</v>
      </c>
      <c r="C45">
        <v>0.57679999999999998</v>
      </c>
    </row>
    <row r="46" spans="1:3" x14ac:dyDescent="0.2">
      <c r="A46">
        <v>5</v>
      </c>
      <c r="B46">
        <v>9</v>
      </c>
      <c r="C46">
        <v>0.66210000000000002</v>
      </c>
    </row>
    <row r="47" spans="1:3" x14ac:dyDescent="0.2">
      <c r="A47">
        <v>5</v>
      </c>
      <c r="B47">
        <v>10</v>
      </c>
      <c r="C47">
        <v>0.19359999999999999</v>
      </c>
    </row>
    <row r="48" spans="1:3" x14ac:dyDescent="0.2">
      <c r="A48">
        <v>5</v>
      </c>
      <c r="B48">
        <v>12</v>
      </c>
      <c r="C48">
        <v>0.20830000000000001</v>
      </c>
    </row>
    <row r="49" spans="1:3" x14ac:dyDescent="0.2">
      <c r="A49">
        <v>5</v>
      </c>
      <c r="B49">
        <v>15</v>
      </c>
      <c r="C49">
        <v>0.1981</v>
      </c>
    </row>
    <row r="50" spans="1:3" x14ac:dyDescent="0.2">
      <c r="A50">
        <v>6</v>
      </c>
      <c r="B50">
        <v>10</v>
      </c>
      <c r="C50">
        <v>0.124</v>
      </c>
    </row>
    <row r="51" spans="1:3" x14ac:dyDescent="0.2">
      <c r="A51">
        <v>6</v>
      </c>
      <c r="B51">
        <v>13</v>
      </c>
      <c r="C51">
        <v>0.31419999999999998</v>
      </c>
    </row>
    <row r="52" spans="1:3" x14ac:dyDescent="0.2">
      <c r="A52">
        <v>8</v>
      </c>
      <c r="B52">
        <v>0</v>
      </c>
      <c r="C52">
        <v>0.2727</v>
      </c>
    </row>
    <row r="53" spans="1:3" x14ac:dyDescent="0.2">
      <c r="A53">
        <v>8</v>
      </c>
      <c r="B53">
        <v>2</v>
      </c>
      <c r="C53">
        <v>0.1381</v>
      </c>
    </row>
    <row r="54" spans="1:3" x14ac:dyDescent="0.2">
      <c r="A54">
        <v>8</v>
      </c>
      <c r="B54">
        <v>5</v>
      </c>
      <c r="C54">
        <v>0.1285</v>
      </c>
    </row>
    <row r="55" spans="1:3" x14ac:dyDescent="0.2">
      <c r="A55">
        <v>8</v>
      </c>
      <c r="B55">
        <v>15</v>
      </c>
      <c r="C55">
        <v>0.1303</v>
      </c>
    </row>
    <row r="56" spans="1:3" x14ac:dyDescent="0.2">
      <c r="A56">
        <v>9</v>
      </c>
      <c r="B56">
        <v>5</v>
      </c>
      <c r="C56">
        <v>0.63949999999999996</v>
      </c>
    </row>
    <row r="57" spans="1:3" x14ac:dyDescent="0.2">
      <c r="A57">
        <v>9</v>
      </c>
      <c r="B57">
        <v>7</v>
      </c>
      <c r="C57">
        <v>0.1794</v>
      </c>
    </row>
    <row r="58" spans="1:3" x14ac:dyDescent="0.2">
      <c r="A58">
        <v>9</v>
      </c>
      <c r="B58">
        <v>13</v>
      </c>
      <c r="C58">
        <v>0.14749999999999999</v>
      </c>
    </row>
    <row r="59" spans="1:3" x14ac:dyDescent="0.2">
      <c r="A59">
        <v>10</v>
      </c>
      <c r="B59">
        <v>10</v>
      </c>
      <c r="C59">
        <v>0.1414</v>
      </c>
    </row>
    <row r="60" spans="1:3" x14ac:dyDescent="0.2">
      <c r="A60">
        <v>10</v>
      </c>
      <c r="B60">
        <v>14</v>
      </c>
      <c r="C60">
        <v>0.13239999999999999</v>
      </c>
    </row>
    <row r="61" spans="1:3" x14ac:dyDescent="0.2">
      <c r="A61">
        <v>12</v>
      </c>
      <c r="B61">
        <v>4</v>
      </c>
      <c r="C61">
        <v>0.2772</v>
      </c>
    </row>
    <row r="62" spans="1:3" x14ac:dyDescent="0.2">
      <c r="A62">
        <v>15</v>
      </c>
      <c r="B62">
        <v>11</v>
      </c>
      <c r="C62">
        <v>0.1439</v>
      </c>
    </row>
    <row r="63" spans="1:3" x14ac:dyDescent="0.2">
      <c r="A63">
        <v>15</v>
      </c>
      <c r="B63">
        <v>12</v>
      </c>
      <c r="C63">
        <v>0.13020000000000001</v>
      </c>
    </row>
    <row r="64" spans="1:3" x14ac:dyDescent="0.2">
      <c r="A64">
        <v>16</v>
      </c>
      <c r="B64">
        <v>1</v>
      </c>
      <c r="C64">
        <v>0.12590000000000001</v>
      </c>
    </row>
    <row r="65" spans="1:3" x14ac:dyDescent="0.2">
      <c r="A65">
        <v>19</v>
      </c>
      <c r="B65">
        <v>2</v>
      </c>
      <c r="C65">
        <v>0.20660000000000001</v>
      </c>
    </row>
    <row r="66" spans="1:3" x14ac:dyDescent="0.2">
      <c r="A66">
        <v>19</v>
      </c>
      <c r="B66">
        <v>3</v>
      </c>
      <c r="C66">
        <v>0.18820000000000001</v>
      </c>
    </row>
    <row r="67" spans="1:3" x14ac:dyDescent="0.2">
      <c r="A67">
        <v>20</v>
      </c>
      <c r="B67">
        <v>1</v>
      </c>
      <c r="C67">
        <v>0.10050000000000001</v>
      </c>
    </row>
    <row r="68" spans="1:3" x14ac:dyDescent="0.2">
      <c r="A68">
        <v>21</v>
      </c>
      <c r="B68">
        <v>0</v>
      </c>
      <c r="C68">
        <v>0.37140000000000001</v>
      </c>
    </row>
    <row r="69" spans="1:3" x14ac:dyDescent="0.2">
      <c r="A69">
        <v>21</v>
      </c>
      <c r="B69">
        <v>2</v>
      </c>
      <c r="C69">
        <v>0.22159999999999999</v>
      </c>
    </row>
    <row r="70" spans="1:3" x14ac:dyDescent="0.2">
      <c r="A70">
        <v>21</v>
      </c>
      <c r="B70">
        <v>7</v>
      </c>
      <c r="C70">
        <v>0.1295</v>
      </c>
    </row>
    <row r="71" spans="1:3" x14ac:dyDescent="0.2">
      <c r="A71">
        <v>22</v>
      </c>
      <c r="B71">
        <v>2</v>
      </c>
      <c r="C71">
        <v>0.33150000000000002</v>
      </c>
    </row>
    <row r="72" spans="1:3" x14ac:dyDescent="0.2">
      <c r="A72">
        <v>22</v>
      </c>
      <c r="B72">
        <v>3</v>
      </c>
      <c r="C72">
        <v>0.1225</v>
      </c>
    </row>
  </sheetData>
  <pageMargins left="0.75" right="0.75" top="1" bottom="1" header="0.5" footer="0.5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47C-A827-9141-A541-E9A0A98AEA4F}">
  <dimension ref="A1:H29"/>
  <sheetViews>
    <sheetView workbookViewId="0">
      <selection sqref="A1:G1"/>
    </sheetView>
  </sheetViews>
  <sheetFormatPr baseColWidth="10" defaultRowHeight="16" x14ac:dyDescent="0.2"/>
  <cols>
    <col min="3" max="3" width="17.83203125" customWidth="1"/>
    <col min="7" max="7" width="13" bestFit="1" customWidth="1"/>
    <col min="8" max="8" width="11.1640625" bestFit="1" customWidth="1"/>
  </cols>
  <sheetData>
    <row r="1" spans="1:8" x14ac:dyDescent="0.2">
      <c r="A1" t="s">
        <v>0</v>
      </c>
      <c r="B1" t="s">
        <v>1</v>
      </c>
      <c r="C1" t="s">
        <v>2</v>
      </c>
    </row>
    <row r="2" spans="1:8" x14ac:dyDescent="0.2">
      <c r="A2">
        <v>0</v>
      </c>
      <c r="B2">
        <v>0</v>
      </c>
      <c r="C2">
        <v>0.24179999999999999</v>
      </c>
      <c r="G2" s="1" t="s">
        <v>3</v>
      </c>
      <c r="H2" t="s">
        <v>5</v>
      </c>
    </row>
    <row r="3" spans="1:8" x14ac:dyDescent="0.2">
      <c r="A3">
        <v>0</v>
      </c>
      <c r="B3">
        <v>1</v>
      </c>
      <c r="C3">
        <v>0.46</v>
      </c>
      <c r="G3" s="2">
        <v>0</v>
      </c>
      <c r="H3" s="3">
        <v>16</v>
      </c>
    </row>
    <row r="4" spans="1:8" x14ac:dyDescent="0.2">
      <c r="A4">
        <v>0</v>
      </c>
      <c r="B4">
        <v>3</v>
      </c>
      <c r="C4">
        <v>0.96560000000000001</v>
      </c>
      <c r="G4" s="2">
        <v>1</v>
      </c>
      <c r="H4" s="3">
        <v>20</v>
      </c>
    </row>
    <row r="5" spans="1:8" x14ac:dyDescent="0.2">
      <c r="A5">
        <v>0</v>
      </c>
      <c r="B5">
        <v>5</v>
      </c>
      <c r="C5">
        <v>0.14990000000000001</v>
      </c>
      <c r="G5" s="2">
        <v>2</v>
      </c>
      <c r="H5" s="3">
        <v>28</v>
      </c>
    </row>
    <row r="6" spans="1:8" x14ac:dyDescent="0.2">
      <c r="A6">
        <v>0</v>
      </c>
      <c r="B6">
        <v>7</v>
      </c>
      <c r="C6">
        <v>0.24149999999999999</v>
      </c>
      <c r="G6" s="2">
        <v>3</v>
      </c>
      <c r="H6" s="3">
        <v>21</v>
      </c>
    </row>
    <row r="7" spans="1:8" x14ac:dyDescent="0.2">
      <c r="A7">
        <v>1</v>
      </c>
      <c r="B7">
        <v>0</v>
      </c>
      <c r="C7">
        <v>0.88919999999999999</v>
      </c>
      <c r="G7" s="2">
        <v>5</v>
      </c>
      <c r="H7" s="3">
        <v>3</v>
      </c>
    </row>
    <row r="8" spans="1:8" x14ac:dyDescent="0.2">
      <c r="A8">
        <v>1</v>
      </c>
      <c r="B8">
        <v>2</v>
      </c>
      <c r="C8">
        <v>0.58440000000000003</v>
      </c>
      <c r="G8" s="2">
        <v>6</v>
      </c>
      <c r="H8" s="3">
        <v>3</v>
      </c>
    </row>
    <row r="9" spans="1:8" x14ac:dyDescent="0.2">
      <c r="A9">
        <v>1</v>
      </c>
      <c r="B9">
        <v>3</v>
      </c>
      <c r="C9">
        <v>0.6673</v>
      </c>
      <c r="G9" s="2">
        <v>7</v>
      </c>
      <c r="H9" s="3">
        <v>6</v>
      </c>
    </row>
    <row r="10" spans="1:8" x14ac:dyDescent="0.2">
      <c r="A10">
        <v>1</v>
      </c>
      <c r="B10">
        <v>4</v>
      </c>
      <c r="C10">
        <v>0.97040000000000004</v>
      </c>
      <c r="G10" s="2">
        <v>8</v>
      </c>
      <c r="H10" s="3">
        <v>1</v>
      </c>
    </row>
    <row r="11" spans="1:8" x14ac:dyDescent="0.2">
      <c r="A11">
        <v>1</v>
      </c>
      <c r="B11">
        <v>5</v>
      </c>
      <c r="C11">
        <v>0.35120000000000001</v>
      </c>
      <c r="G11" s="2">
        <v>15</v>
      </c>
      <c r="H11" s="3">
        <v>5</v>
      </c>
    </row>
    <row r="12" spans="1:8" x14ac:dyDescent="0.2">
      <c r="A12">
        <v>1</v>
      </c>
      <c r="B12">
        <v>6</v>
      </c>
      <c r="C12">
        <v>0.37730000000000002</v>
      </c>
      <c r="G12" s="2" t="s">
        <v>4</v>
      </c>
      <c r="H12" s="3">
        <v>103</v>
      </c>
    </row>
    <row r="13" spans="1:8" x14ac:dyDescent="0.2">
      <c r="A13">
        <v>2</v>
      </c>
      <c r="B13">
        <v>0</v>
      </c>
      <c r="C13">
        <v>0.66100000000000003</v>
      </c>
    </row>
    <row r="14" spans="1:8" x14ac:dyDescent="0.2">
      <c r="A14">
        <v>2</v>
      </c>
      <c r="B14">
        <v>1</v>
      </c>
      <c r="C14">
        <v>0.29249999999999998</v>
      </c>
    </row>
    <row r="15" spans="1:8" x14ac:dyDescent="0.2">
      <c r="A15">
        <v>2</v>
      </c>
      <c r="B15">
        <v>2</v>
      </c>
      <c r="C15">
        <v>0.7</v>
      </c>
    </row>
    <row r="16" spans="1:8" x14ac:dyDescent="0.2">
      <c r="A16">
        <v>2</v>
      </c>
      <c r="B16">
        <v>3</v>
      </c>
      <c r="C16">
        <v>0.1696</v>
      </c>
    </row>
    <row r="17" spans="1:3" x14ac:dyDescent="0.2">
      <c r="A17">
        <v>2</v>
      </c>
      <c r="B17">
        <v>4</v>
      </c>
      <c r="C17">
        <v>0.1709</v>
      </c>
    </row>
    <row r="18" spans="1:3" x14ac:dyDescent="0.2">
      <c r="A18">
        <v>2</v>
      </c>
      <c r="B18">
        <v>5</v>
      </c>
      <c r="C18">
        <v>0.10929999999999999</v>
      </c>
    </row>
    <row r="19" spans="1:3" x14ac:dyDescent="0.2">
      <c r="A19">
        <v>2</v>
      </c>
      <c r="B19">
        <v>6</v>
      </c>
      <c r="C19">
        <v>0.54649999999999999</v>
      </c>
    </row>
    <row r="20" spans="1:3" x14ac:dyDescent="0.2">
      <c r="A20">
        <v>2</v>
      </c>
      <c r="B20">
        <v>7</v>
      </c>
      <c r="C20">
        <v>0.25390000000000001</v>
      </c>
    </row>
    <row r="21" spans="1:3" x14ac:dyDescent="0.2">
      <c r="A21">
        <v>3</v>
      </c>
      <c r="B21">
        <v>3</v>
      </c>
      <c r="C21">
        <v>0.22259999999999999</v>
      </c>
    </row>
    <row r="22" spans="1:3" x14ac:dyDescent="0.2">
      <c r="A22">
        <v>3</v>
      </c>
      <c r="B22">
        <v>5</v>
      </c>
      <c r="C22">
        <v>0.99319999999999997</v>
      </c>
    </row>
    <row r="23" spans="1:3" x14ac:dyDescent="0.2">
      <c r="A23">
        <v>3</v>
      </c>
      <c r="B23">
        <v>6</v>
      </c>
      <c r="C23">
        <v>0.72560000000000002</v>
      </c>
    </row>
    <row r="24" spans="1:3" x14ac:dyDescent="0.2">
      <c r="A24">
        <v>3</v>
      </c>
      <c r="B24">
        <v>7</v>
      </c>
      <c r="C24">
        <v>0.4335</v>
      </c>
    </row>
    <row r="25" spans="1:3" x14ac:dyDescent="0.2">
      <c r="A25">
        <v>5</v>
      </c>
      <c r="B25">
        <v>3</v>
      </c>
      <c r="C25">
        <v>0.15720000000000001</v>
      </c>
    </row>
    <row r="26" spans="1:3" x14ac:dyDescent="0.2">
      <c r="A26">
        <v>6</v>
      </c>
      <c r="B26">
        <v>3</v>
      </c>
      <c r="C26">
        <v>0.64500000000000002</v>
      </c>
    </row>
    <row r="27" spans="1:3" x14ac:dyDescent="0.2">
      <c r="A27">
        <v>7</v>
      </c>
      <c r="B27">
        <v>6</v>
      </c>
      <c r="C27">
        <v>0.15820000000000001</v>
      </c>
    </row>
    <row r="28" spans="1:3" x14ac:dyDescent="0.2">
      <c r="A28">
        <v>8</v>
      </c>
      <c r="B28">
        <v>1</v>
      </c>
      <c r="C28">
        <v>0.1198</v>
      </c>
    </row>
    <row r="29" spans="1:3" x14ac:dyDescent="0.2">
      <c r="A29">
        <v>15</v>
      </c>
      <c r="B29">
        <v>5</v>
      </c>
      <c r="C29">
        <v>0.12280000000000001</v>
      </c>
    </row>
  </sheetData>
  <pageMargins left="0.75" right="0.75" top="1" bottom="1" header="0.5" footer="0.5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7D9E-524D-6648-8859-F83DBB4E3E5C}">
  <dimension ref="A1:G102"/>
  <sheetViews>
    <sheetView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0.59360000000000002</v>
      </c>
      <c r="F2" s="2">
        <v>0</v>
      </c>
      <c r="G2" s="3">
        <v>299</v>
      </c>
    </row>
    <row r="3" spans="1:7" x14ac:dyDescent="0.2">
      <c r="A3">
        <v>0</v>
      </c>
      <c r="B3">
        <v>1</v>
      </c>
      <c r="C3">
        <v>0.158</v>
      </c>
      <c r="F3" s="2">
        <v>1</v>
      </c>
      <c r="G3" s="3">
        <v>398</v>
      </c>
    </row>
    <row r="4" spans="1:7" x14ac:dyDescent="0.2">
      <c r="A4">
        <v>0</v>
      </c>
      <c r="B4">
        <v>2</v>
      </c>
      <c r="C4">
        <v>0.32079999999999997</v>
      </c>
      <c r="F4" s="2">
        <v>2</v>
      </c>
      <c r="G4" s="3">
        <v>157</v>
      </c>
    </row>
    <row r="5" spans="1:7" x14ac:dyDescent="0.2">
      <c r="A5">
        <v>0</v>
      </c>
      <c r="B5">
        <v>4</v>
      </c>
      <c r="C5">
        <v>0.1212</v>
      </c>
      <c r="F5" s="2">
        <v>3</v>
      </c>
      <c r="G5" s="3">
        <v>109</v>
      </c>
    </row>
    <row r="6" spans="1:7" x14ac:dyDescent="0.2">
      <c r="A6">
        <v>0</v>
      </c>
      <c r="B6">
        <v>5</v>
      </c>
      <c r="C6">
        <v>0.34639999999999999</v>
      </c>
      <c r="F6" s="2">
        <v>4</v>
      </c>
      <c r="G6" s="3">
        <v>64</v>
      </c>
    </row>
    <row r="7" spans="1:7" x14ac:dyDescent="0.2">
      <c r="A7">
        <v>0</v>
      </c>
      <c r="B7">
        <v>6</v>
      </c>
      <c r="C7">
        <v>0.11409999999999999</v>
      </c>
      <c r="F7" s="2">
        <v>5</v>
      </c>
      <c r="G7" s="3">
        <v>40</v>
      </c>
    </row>
    <row r="8" spans="1:7" x14ac:dyDescent="0.2">
      <c r="A8">
        <v>0</v>
      </c>
      <c r="B8">
        <v>8</v>
      </c>
      <c r="C8">
        <v>0.11899999999999999</v>
      </c>
      <c r="F8" s="2">
        <v>6</v>
      </c>
      <c r="G8" s="3">
        <v>19</v>
      </c>
    </row>
    <row r="9" spans="1:7" x14ac:dyDescent="0.2">
      <c r="A9">
        <v>0</v>
      </c>
      <c r="B9">
        <v>10</v>
      </c>
      <c r="C9">
        <v>0.27610000000000001</v>
      </c>
      <c r="F9" s="2">
        <v>8</v>
      </c>
      <c r="G9" s="3">
        <v>20</v>
      </c>
    </row>
    <row r="10" spans="1:7" x14ac:dyDescent="0.2">
      <c r="A10">
        <v>0</v>
      </c>
      <c r="B10">
        <v>12</v>
      </c>
      <c r="C10">
        <v>0.1202</v>
      </c>
      <c r="F10" s="2">
        <v>9</v>
      </c>
      <c r="G10" s="3">
        <v>37</v>
      </c>
    </row>
    <row r="11" spans="1:7" x14ac:dyDescent="0.2">
      <c r="A11">
        <v>0</v>
      </c>
      <c r="B11">
        <v>16</v>
      </c>
      <c r="C11">
        <v>0.27639999999999998</v>
      </c>
      <c r="F11" s="2">
        <v>10</v>
      </c>
      <c r="G11" s="3">
        <v>67</v>
      </c>
    </row>
    <row r="12" spans="1:7" x14ac:dyDescent="0.2">
      <c r="A12">
        <v>0</v>
      </c>
      <c r="B12">
        <v>17</v>
      </c>
      <c r="C12">
        <v>0.185</v>
      </c>
      <c r="F12" s="2">
        <v>11</v>
      </c>
      <c r="G12" s="3">
        <v>57</v>
      </c>
    </row>
    <row r="13" spans="1:7" x14ac:dyDescent="0.2">
      <c r="A13">
        <v>0</v>
      </c>
      <c r="B13">
        <v>19</v>
      </c>
      <c r="C13">
        <v>0.1396</v>
      </c>
      <c r="F13" s="2">
        <v>12</v>
      </c>
      <c r="G13" s="3">
        <v>67</v>
      </c>
    </row>
    <row r="14" spans="1:7" x14ac:dyDescent="0.2">
      <c r="A14">
        <v>0</v>
      </c>
      <c r="B14">
        <v>20</v>
      </c>
      <c r="C14">
        <v>0.79659999999999997</v>
      </c>
      <c r="F14" s="2">
        <v>14</v>
      </c>
      <c r="G14" s="3">
        <v>21</v>
      </c>
    </row>
    <row r="15" spans="1:7" x14ac:dyDescent="0.2">
      <c r="A15">
        <v>0</v>
      </c>
      <c r="B15">
        <v>21</v>
      </c>
      <c r="C15">
        <v>0.97260000000000002</v>
      </c>
      <c r="F15" s="2">
        <v>20</v>
      </c>
      <c r="G15" s="3">
        <v>47</v>
      </c>
    </row>
    <row r="16" spans="1:7" x14ac:dyDescent="0.2">
      <c r="A16">
        <v>0</v>
      </c>
      <c r="B16">
        <v>22</v>
      </c>
      <c r="C16">
        <v>0.67779999999999996</v>
      </c>
      <c r="F16" s="2">
        <v>21</v>
      </c>
      <c r="G16" s="3">
        <v>24</v>
      </c>
    </row>
    <row r="17" spans="1:7" x14ac:dyDescent="0.2">
      <c r="A17">
        <v>0</v>
      </c>
      <c r="B17">
        <v>23</v>
      </c>
      <c r="C17">
        <v>0.2417</v>
      </c>
      <c r="F17" s="2">
        <v>22</v>
      </c>
      <c r="G17" s="3">
        <v>52</v>
      </c>
    </row>
    <row r="18" spans="1:7" x14ac:dyDescent="0.2">
      <c r="A18">
        <v>0</v>
      </c>
      <c r="B18">
        <v>25</v>
      </c>
      <c r="C18">
        <v>0.25669999999999998</v>
      </c>
      <c r="F18" s="2">
        <v>23</v>
      </c>
      <c r="G18" s="3">
        <v>12</v>
      </c>
    </row>
    <row r="19" spans="1:7" x14ac:dyDescent="0.2">
      <c r="A19">
        <v>0</v>
      </c>
      <c r="B19">
        <v>27</v>
      </c>
      <c r="C19">
        <v>0.2404</v>
      </c>
      <c r="F19" s="2">
        <v>24</v>
      </c>
      <c r="G19" s="3">
        <v>15</v>
      </c>
    </row>
    <row r="20" spans="1:7" x14ac:dyDescent="0.2">
      <c r="A20">
        <v>0</v>
      </c>
      <c r="B20">
        <v>30</v>
      </c>
      <c r="C20">
        <v>0.44169999999999998</v>
      </c>
      <c r="F20" s="2">
        <v>25</v>
      </c>
      <c r="G20" s="3">
        <v>7</v>
      </c>
    </row>
    <row r="21" spans="1:7" x14ac:dyDescent="0.2">
      <c r="A21">
        <v>0</v>
      </c>
      <c r="B21">
        <v>31</v>
      </c>
      <c r="C21">
        <v>0.12659999999999999</v>
      </c>
      <c r="F21" s="2">
        <v>26</v>
      </c>
      <c r="G21" s="3">
        <v>4</v>
      </c>
    </row>
    <row r="22" spans="1:7" x14ac:dyDescent="0.2">
      <c r="A22">
        <v>1</v>
      </c>
      <c r="B22">
        <v>0</v>
      </c>
      <c r="C22">
        <v>0.1095</v>
      </c>
      <c r="F22" s="2">
        <v>27</v>
      </c>
      <c r="G22" s="3">
        <v>34</v>
      </c>
    </row>
    <row r="23" spans="1:7" x14ac:dyDescent="0.2">
      <c r="A23">
        <v>1</v>
      </c>
      <c r="B23">
        <v>2</v>
      </c>
      <c r="C23">
        <v>0.22339999999999999</v>
      </c>
      <c r="F23" s="2">
        <v>28</v>
      </c>
      <c r="G23" s="3">
        <v>15</v>
      </c>
    </row>
    <row r="24" spans="1:7" x14ac:dyDescent="0.2">
      <c r="A24">
        <v>1</v>
      </c>
      <c r="B24">
        <v>4</v>
      </c>
      <c r="C24">
        <v>0.83699999999999997</v>
      </c>
      <c r="F24" s="2">
        <v>29</v>
      </c>
      <c r="G24" s="3">
        <v>7</v>
      </c>
    </row>
    <row r="25" spans="1:7" x14ac:dyDescent="0.2">
      <c r="A25">
        <v>1</v>
      </c>
      <c r="B25">
        <v>5</v>
      </c>
      <c r="C25">
        <v>0.59650000000000003</v>
      </c>
      <c r="F25" s="2">
        <v>30</v>
      </c>
      <c r="G25" s="3">
        <v>38</v>
      </c>
    </row>
    <row r="26" spans="1:7" x14ac:dyDescent="0.2">
      <c r="A26">
        <v>1</v>
      </c>
      <c r="B26">
        <v>6</v>
      </c>
      <c r="C26">
        <v>0.98150000000000004</v>
      </c>
      <c r="F26" s="2">
        <v>31</v>
      </c>
      <c r="G26" s="3">
        <v>23</v>
      </c>
    </row>
    <row r="27" spans="1:7" x14ac:dyDescent="0.2">
      <c r="A27">
        <v>1</v>
      </c>
      <c r="B27">
        <v>8</v>
      </c>
      <c r="C27">
        <v>0.14949999999999999</v>
      </c>
      <c r="F27" s="2" t="s">
        <v>4</v>
      </c>
      <c r="G27" s="3">
        <v>1633</v>
      </c>
    </row>
    <row r="28" spans="1:7" x14ac:dyDescent="0.2">
      <c r="A28">
        <v>1</v>
      </c>
      <c r="B28">
        <v>10</v>
      </c>
      <c r="C28">
        <v>0.1852</v>
      </c>
    </row>
    <row r="29" spans="1:7" x14ac:dyDescent="0.2">
      <c r="A29">
        <v>1</v>
      </c>
      <c r="B29">
        <v>11</v>
      </c>
      <c r="C29">
        <v>0.92679999999999996</v>
      </c>
    </row>
    <row r="30" spans="1:7" x14ac:dyDescent="0.2">
      <c r="A30">
        <v>1</v>
      </c>
      <c r="B30">
        <v>12</v>
      </c>
      <c r="C30">
        <v>0.9909</v>
      </c>
    </row>
    <row r="31" spans="1:7" x14ac:dyDescent="0.2">
      <c r="A31">
        <v>1</v>
      </c>
      <c r="B31">
        <v>14</v>
      </c>
      <c r="C31">
        <v>0.83799999999999997</v>
      </c>
    </row>
    <row r="32" spans="1:7" x14ac:dyDescent="0.2">
      <c r="A32">
        <v>1</v>
      </c>
      <c r="B32">
        <v>15</v>
      </c>
      <c r="C32">
        <v>0.77280000000000004</v>
      </c>
    </row>
    <row r="33" spans="1:3" x14ac:dyDescent="0.2">
      <c r="A33">
        <v>1</v>
      </c>
      <c r="B33">
        <v>16</v>
      </c>
      <c r="C33">
        <v>0.1019</v>
      </c>
    </row>
    <row r="34" spans="1:3" x14ac:dyDescent="0.2">
      <c r="A34">
        <v>1</v>
      </c>
      <c r="B34">
        <v>17</v>
      </c>
      <c r="C34">
        <v>0.97189999999999999</v>
      </c>
    </row>
    <row r="35" spans="1:3" x14ac:dyDescent="0.2">
      <c r="A35">
        <v>1</v>
      </c>
      <c r="B35">
        <v>18</v>
      </c>
      <c r="C35">
        <v>0.23039999999999999</v>
      </c>
    </row>
    <row r="36" spans="1:3" x14ac:dyDescent="0.2">
      <c r="A36">
        <v>1</v>
      </c>
      <c r="B36">
        <v>21</v>
      </c>
      <c r="C36">
        <v>0.8115</v>
      </c>
    </row>
    <row r="37" spans="1:3" x14ac:dyDescent="0.2">
      <c r="A37">
        <v>1</v>
      </c>
      <c r="B37">
        <v>22</v>
      </c>
      <c r="C37">
        <v>0.90580000000000005</v>
      </c>
    </row>
    <row r="38" spans="1:3" x14ac:dyDescent="0.2">
      <c r="A38">
        <v>1</v>
      </c>
      <c r="B38">
        <v>23</v>
      </c>
      <c r="C38">
        <v>0.49740000000000001</v>
      </c>
    </row>
    <row r="39" spans="1:3" x14ac:dyDescent="0.2">
      <c r="A39">
        <v>1</v>
      </c>
      <c r="B39">
        <v>24</v>
      </c>
      <c r="C39">
        <v>0.45240000000000002</v>
      </c>
    </row>
    <row r="40" spans="1:3" x14ac:dyDescent="0.2">
      <c r="A40">
        <v>1</v>
      </c>
      <c r="B40">
        <v>25</v>
      </c>
      <c r="C40">
        <v>0.94830000000000003</v>
      </c>
    </row>
    <row r="41" spans="1:3" x14ac:dyDescent="0.2">
      <c r="A41">
        <v>1</v>
      </c>
      <c r="B41">
        <v>27</v>
      </c>
      <c r="C41">
        <v>0.17610000000000001</v>
      </c>
    </row>
    <row r="42" spans="1:3" x14ac:dyDescent="0.2">
      <c r="A42">
        <v>1</v>
      </c>
      <c r="B42">
        <v>28</v>
      </c>
      <c r="C42">
        <v>0.2747</v>
      </c>
    </row>
    <row r="43" spans="1:3" x14ac:dyDescent="0.2">
      <c r="A43">
        <v>1</v>
      </c>
      <c r="B43">
        <v>29</v>
      </c>
      <c r="C43">
        <v>0.98399999999999999</v>
      </c>
    </row>
    <row r="44" spans="1:3" x14ac:dyDescent="0.2">
      <c r="A44">
        <v>1</v>
      </c>
      <c r="B44">
        <v>30</v>
      </c>
      <c r="C44">
        <v>0.53720000000000001</v>
      </c>
    </row>
    <row r="45" spans="1:3" x14ac:dyDescent="0.2">
      <c r="A45">
        <v>1</v>
      </c>
      <c r="B45">
        <v>31</v>
      </c>
      <c r="C45">
        <v>0.3392</v>
      </c>
    </row>
    <row r="46" spans="1:3" x14ac:dyDescent="0.2">
      <c r="A46">
        <v>2</v>
      </c>
      <c r="B46">
        <v>5</v>
      </c>
      <c r="C46">
        <v>0.49859999999999999</v>
      </c>
    </row>
    <row r="47" spans="1:3" x14ac:dyDescent="0.2">
      <c r="A47">
        <v>2</v>
      </c>
      <c r="B47">
        <v>12</v>
      </c>
      <c r="C47">
        <v>0.61460000000000004</v>
      </c>
    </row>
    <row r="48" spans="1:3" x14ac:dyDescent="0.2">
      <c r="A48">
        <v>2</v>
      </c>
      <c r="B48">
        <v>17</v>
      </c>
      <c r="C48">
        <v>0.36909999999999998</v>
      </c>
    </row>
    <row r="49" spans="1:3" x14ac:dyDescent="0.2">
      <c r="A49">
        <v>2</v>
      </c>
      <c r="B49">
        <v>20</v>
      </c>
      <c r="C49">
        <v>0.14460000000000001</v>
      </c>
    </row>
    <row r="50" spans="1:3" x14ac:dyDescent="0.2">
      <c r="A50">
        <v>2</v>
      </c>
      <c r="B50">
        <v>22</v>
      </c>
      <c r="C50">
        <v>0.21690000000000001</v>
      </c>
    </row>
    <row r="51" spans="1:3" x14ac:dyDescent="0.2">
      <c r="A51">
        <v>2</v>
      </c>
      <c r="B51">
        <v>24</v>
      </c>
      <c r="C51">
        <v>0.2036</v>
      </c>
    </row>
    <row r="52" spans="1:3" x14ac:dyDescent="0.2">
      <c r="A52">
        <v>2</v>
      </c>
      <c r="B52">
        <v>27</v>
      </c>
      <c r="C52">
        <v>0.41339999999999999</v>
      </c>
    </row>
    <row r="53" spans="1:3" x14ac:dyDescent="0.2">
      <c r="A53">
        <v>2</v>
      </c>
      <c r="B53">
        <v>30</v>
      </c>
      <c r="C53">
        <v>0.17979999999999999</v>
      </c>
    </row>
    <row r="54" spans="1:3" x14ac:dyDescent="0.2">
      <c r="A54">
        <v>3</v>
      </c>
      <c r="B54">
        <v>1</v>
      </c>
      <c r="C54">
        <v>0.60389999999999999</v>
      </c>
    </row>
    <row r="55" spans="1:3" x14ac:dyDescent="0.2">
      <c r="A55">
        <v>3</v>
      </c>
      <c r="B55">
        <v>14</v>
      </c>
      <c r="C55">
        <v>0.1996</v>
      </c>
    </row>
    <row r="56" spans="1:3" x14ac:dyDescent="0.2">
      <c r="A56">
        <v>3</v>
      </c>
      <c r="B56">
        <v>16</v>
      </c>
      <c r="C56">
        <v>0.1159</v>
      </c>
    </row>
    <row r="57" spans="1:3" x14ac:dyDescent="0.2">
      <c r="A57">
        <v>3</v>
      </c>
      <c r="B57">
        <v>23</v>
      </c>
      <c r="C57">
        <v>0.84089999999999998</v>
      </c>
    </row>
    <row r="58" spans="1:3" x14ac:dyDescent="0.2">
      <c r="A58">
        <v>3</v>
      </c>
      <c r="B58">
        <v>26</v>
      </c>
      <c r="C58">
        <v>0.21829999999999999</v>
      </c>
    </row>
    <row r="59" spans="1:3" x14ac:dyDescent="0.2">
      <c r="A59">
        <v>3</v>
      </c>
      <c r="B59">
        <v>29</v>
      </c>
      <c r="C59">
        <v>0.31519999999999998</v>
      </c>
    </row>
    <row r="60" spans="1:3" x14ac:dyDescent="0.2">
      <c r="A60">
        <v>4</v>
      </c>
      <c r="B60">
        <v>0</v>
      </c>
      <c r="C60">
        <v>0.11260000000000001</v>
      </c>
    </row>
    <row r="61" spans="1:3" x14ac:dyDescent="0.2">
      <c r="A61">
        <v>4</v>
      </c>
      <c r="B61">
        <v>16</v>
      </c>
      <c r="C61">
        <v>0.88959999999999995</v>
      </c>
    </row>
    <row r="62" spans="1:3" x14ac:dyDescent="0.2">
      <c r="A62">
        <v>4</v>
      </c>
      <c r="B62">
        <v>23</v>
      </c>
      <c r="C62">
        <v>0.41510000000000002</v>
      </c>
    </row>
    <row r="63" spans="1:3" x14ac:dyDescent="0.2">
      <c r="A63">
        <v>4</v>
      </c>
      <c r="B63">
        <v>25</v>
      </c>
      <c r="C63">
        <v>0.2681</v>
      </c>
    </row>
    <row r="64" spans="1:3" x14ac:dyDescent="0.2">
      <c r="A64">
        <v>5</v>
      </c>
      <c r="B64">
        <v>17</v>
      </c>
      <c r="C64">
        <v>0.1162</v>
      </c>
    </row>
    <row r="65" spans="1:3" x14ac:dyDescent="0.2">
      <c r="A65">
        <v>5</v>
      </c>
      <c r="B65">
        <v>23</v>
      </c>
      <c r="C65">
        <v>0.25219999999999998</v>
      </c>
    </row>
    <row r="66" spans="1:3" x14ac:dyDescent="0.2">
      <c r="A66">
        <v>6</v>
      </c>
      <c r="B66">
        <v>6</v>
      </c>
      <c r="C66">
        <v>0.1043</v>
      </c>
    </row>
    <row r="67" spans="1:3" x14ac:dyDescent="0.2">
      <c r="A67">
        <v>6</v>
      </c>
      <c r="B67">
        <v>13</v>
      </c>
      <c r="C67">
        <v>0.8004</v>
      </c>
    </row>
    <row r="68" spans="1:3" x14ac:dyDescent="0.2">
      <c r="A68">
        <v>8</v>
      </c>
      <c r="B68">
        <v>20</v>
      </c>
      <c r="C68">
        <v>0.13200000000000001</v>
      </c>
    </row>
    <row r="69" spans="1:3" x14ac:dyDescent="0.2">
      <c r="A69">
        <v>9</v>
      </c>
      <c r="B69">
        <v>6</v>
      </c>
      <c r="C69">
        <v>0.15229999999999999</v>
      </c>
    </row>
    <row r="70" spans="1:3" x14ac:dyDescent="0.2">
      <c r="A70">
        <v>9</v>
      </c>
      <c r="B70">
        <v>13</v>
      </c>
      <c r="C70">
        <v>0.112</v>
      </c>
    </row>
    <row r="71" spans="1:3" x14ac:dyDescent="0.2">
      <c r="A71">
        <v>9</v>
      </c>
      <c r="B71">
        <v>18</v>
      </c>
      <c r="C71">
        <v>0.1203</v>
      </c>
    </row>
    <row r="72" spans="1:3" x14ac:dyDescent="0.2">
      <c r="A72">
        <v>10</v>
      </c>
      <c r="B72">
        <v>7</v>
      </c>
      <c r="C72">
        <v>0.1179</v>
      </c>
    </row>
    <row r="73" spans="1:3" x14ac:dyDescent="0.2">
      <c r="A73">
        <v>10</v>
      </c>
      <c r="B73">
        <v>14</v>
      </c>
      <c r="C73">
        <v>0.2828</v>
      </c>
    </row>
    <row r="74" spans="1:3" x14ac:dyDescent="0.2">
      <c r="A74">
        <v>10</v>
      </c>
      <c r="B74">
        <v>19</v>
      </c>
      <c r="C74">
        <v>0.25440000000000002</v>
      </c>
    </row>
    <row r="75" spans="1:3" x14ac:dyDescent="0.2">
      <c r="A75">
        <v>10</v>
      </c>
      <c r="B75">
        <v>27</v>
      </c>
      <c r="C75">
        <v>0.76770000000000005</v>
      </c>
    </row>
    <row r="76" spans="1:3" x14ac:dyDescent="0.2">
      <c r="A76">
        <v>11</v>
      </c>
      <c r="B76">
        <v>7</v>
      </c>
      <c r="C76">
        <v>0.32300000000000001</v>
      </c>
    </row>
    <row r="77" spans="1:3" x14ac:dyDescent="0.2">
      <c r="A77">
        <v>11</v>
      </c>
      <c r="B77">
        <v>21</v>
      </c>
      <c r="C77">
        <v>0.1348</v>
      </c>
    </row>
    <row r="78" spans="1:3" x14ac:dyDescent="0.2">
      <c r="A78">
        <v>11</v>
      </c>
      <c r="B78">
        <v>29</v>
      </c>
      <c r="C78">
        <v>0.1802</v>
      </c>
    </row>
    <row r="79" spans="1:3" x14ac:dyDescent="0.2">
      <c r="A79">
        <v>12</v>
      </c>
      <c r="B79">
        <v>10</v>
      </c>
      <c r="C79">
        <v>0.1231</v>
      </c>
    </row>
    <row r="80" spans="1:3" x14ac:dyDescent="0.2">
      <c r="A80">
        <v>12</v>
      </c>
      <c r="B80">
        <v>26</v>
      </c>
      <c r="C80">
        <v>0.1024</v>
      </c>
    </row>
    <row r="81" spans="1:3" x14ac:dyDescent="0.2">
      <c r="A81">
        <v>12</v>
      </c>
      <c r="B81">
        <v>31</v>
      </c>
      <c r="C81">
        <v>0.5948</v>
      </c>
    </row>
    <row r="82" spans="1:3" x14ac:dyDescent="0.2">
      <c r="A82">
        <v>14</v>
      </c>
      <c r="B82">
        <v>21</v>
      </c>
      <c r="C82">
        <v>0.14130000000000001</v>
      </c>
    </row>
    <row r="83" spans="1:3" x14ac:dyDescent="0.2">
      <c r="A83">
        <v>20</v>
      </c>
      <c r="B83">
        <v>5</v>
      </c>
      <c r="C83">
        <v>0.10150000000000001</v>
      </c>
    </row>
    <row r="84" spans="1:3" x14ac:dyDescent="0.2">
      <c r="A84">
        <v>20</v>
      </c>
      <c r="B84">
        <v>12</v>
      </c>
      <c r="C84">
        <v>0.3246</v>
      </c>
    </row>
    <row r="85" spans="1:3" x14ac:dyDescent="0.2">
      <c r="A85">
        <v>20</v>
      </c>
      <c r="B85">
        <v>30</v>
      </c>
      <c r="C85">
        <v>0.1686</v>
      </c>
    </row>
    <row r="86" spans="1:3" x14ac:dyDescent="0.2">
      <c r="A86">
        <v>21</v>
      </c>
      <c r="B86">
        <v>24</v>
      </c>
      <c r="C86">
        <v>0.1106</v>
      </c>
    </row>
    <row r="87" spans="1:3" x14ac:dyDescent="0.2">
      <c r="A87">
        <v>22</v>
      </c>
      <c r="B87">
        <v>22</v>
      </c>
      <c r="C87">
        <v>0.12189999999999999</v>
      </c>
    </row>
    <row r="88" spans="1:3" x14ac:dyDescent="0.2">
      <c r="A88">
        <v>22</v>
      </c>
      <c r="B88">
        <v>30</v>
      </c>
      <c r="C88">
        <v>0.1198</v>
      </c>
    </row>
    <row r="89" spans="1:3" x14ac:dyDescent="0.2">
      <c r="A89">
        <v>23</v>
      </c>
      <c r="B89">
        <v>12</v>
      </c>
      <c r="C89">
        <v>0.12870000000000001</v>
      </c>
    </row>
    <row r="90" spans="1:3" x14ac:dyDescent="0.2">
      <c r="A90">
        <v>24</v>
      </c>
      <c r="B90">
        <v>4</v>
      </c>
      <c r="C90">
        <v>0.23280000000000001</v>
      </c>
    </row>
    <row r="91" spans="1:3" x14ac:dyDescent="0.2">
      <c r="A91">
        <v>24</v>
      </c>
      <c r="B91">
        <v>11</v>
      </c>
      <c r="C91">
        <v>0.22009999999999999</v>
      </c>
    </row>
    <row r="92" spans="1:3" x14ac:dyDescent="0.2">
      <c r="A92">
        <v>25</v>
      </c>
      <c r="B92">
        <v>1</v>
      </c>
      <c r="C92">
        <v>0.24049999999999999</v>
      </c>
    </row>
    <row r="93" spans="1:3" x14ac:dyDescent="0.2">
      <c r="A93">
        <v>25</v>
      </c>
      <c r="B93">
        <v>2</v>
      </c>
      <c r="C93">
        <v>0.2485</v>
      </c>
    </row>
    <row r="94" spans="1:3" x14ac:dyDescent="0.2">
      <c r="A94">
        <v>25</v>
      </c>
      <c r="B94">
        <v>4</v>
      </c>
      <c r="C94">
        <v>0.1027</v>
      </c>
    </row>
    <row r="95" spans="1:3" x14ac:dyDescent="0.2">
      <c r="A95">
        <v>26</v>
      </c>
      <c r="B95">
        <v>4</v>
      </c>
      <c r="C95">
        <v>0.21440000000000001</v>
      </c>
    </row>
    <row r="96" spans="1:3" x14ac:dyDescent="0.2">
      <c r="A96">
        <v>27</v>
      </c>
      <c r="B96">
        <v>10</v>
      </c>
      <c r="C96">
        <v>0.38080000000000003</v>
      </c>
    </row>
    <row r="97" spans="1:3" x14ac:dyDescent="0.2">
      <c r="A97">
        <v>27</v>
      </c>
      <c r="B97">
        <v>24</v>
      </c>
      <c r="C97">
        <v>0.10299999999999999</v>
      </c>
    </row>
    <row r="98" spans="1:3" x14ac:dyDescent="0.2">
      <c r="A98">
        <v>28</v>
      </c>
      <c r="B98">
        <v>15</v>
      </c>
      <c r="C98">
        <v>0.2576</v>
      </c>
    </row>
    <row r="99" spans="1:3" x14ac:dyDescent="0.2">
      <c r="A99">
        <v>29</v>
      </c>
      <c r="B99">
        <v>7</v>
      </c>
      <c r="C99">
        <v>0.90190000000000003</v>
      </c>
    </row>
    <row r="100" spans="1:3" x14ac:dyDescent="0.2">
      <c r="A100">
        <v>30</v>
      </c>
      <c r="B100">
        <v>18</v>
      </c>
      <c r="C100">
        <v>0.12529999999999999</v>
      </c>
    </row>
    <row r="101" spans="1:3" x14ac:dyDescent="0.2">
      <c r="A101">
        <v>30</v>
      </c>
      <c r="B101">
        <v>20</v>
      </c>
      <c r="C101">
        <v>0.1116</v>
      </c>
    </row>
    <row r="102" spans="1:3" x14ac:dyDescent="0.2">
      <c r="A102">
        <v>31</v>
      </c>
      <c r="B102">
        <v>23</v>
      </c>
      <c r="C102">
        <v>0.22259999999999999</v>
      </c>
    </row>
  </sheetData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6398-0C7F-F944-ADA6-02681A31AC87}">
  <dimension ref="A1:G124"/>
  <sheetViews>
    <sheetView topLeftCell="B1" workbookViewId="0">
      <selection activeCell="F1" sqref="F1"/>
    </sheetView>
  </sheetViews>
  <sheetFormatPr baseColWidth="10" defaultRowHeight="16" x14ac:dyDescent="0.2"/>
  <cols>
    <col min="3" max="3" width="17.83203125" customWidth="1"/>
    <col min="6" max="6" width="13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0</v>
      </c>
      <c r="B2">
        <v>0</v>
      </c>
      <c r="C2">
        <v>0.1406</v>
      </c>
      <c r="F2" s="2">
        <v>0</v>
      </c>
      <c r="G2" s="3">
        <v>268</v>
      </c>
    </row>
    <row r="3" spans="1:7" x14ac:dyDescent="0.2">
      <c r="A3">
        <v>0</v>
      </c>
      <c r="B3">
        <v>2</v>
      </c>
      <c r="C3">
        <v>0.29430000000000001</v>
      </c>
      <c r="F3" s="2">
        <v>1</v>
      </c>
      <c r="G3" s="3">
        <v>374</v>
      </c>
    </row>
    <row r="4" spans="1:7" x14ac:dyDescent="0.2">
      <c r="A4">
        <v>0</v>
      </c>
      <c r="B4">
        <v>3</v>
      </c>
      <c r="C4">
        <v>0.3483</v>
      </c>
      <c r="F4" s="2">
        <v>2</v>
      </c>
      <c r="G4" s="3">
        <v>315</v>
      </c>
    </row>
    <row r="5" spans="1:7" x14ac:dyDescent="0.2">
      <c r="A5">
        <v>0</v>
      </c>
      <c r="B5">
        <v>4</v>
      </c>
      <c r="C5">
        <v>0.10100000000000001</v>
      </c>
      <c r="F5" s="2">
        <v>3</v>
      </c>
      <c r="G5" s="3">
        <v>220</v>
      </c>
    </row>
    <row r="6" spans="1:7" x14ac:dyDescent="0.2">
      <c r="A6">
        <v>0</v>
      </c>
      <c r="B6">
        <v>5</v>
      </c>
      <c r="C6">
        <v>0.70720000000000005</v>
      </c>
      <c r="F6" s="2">
        <v>4</v>
      </c>
      <c r="G6" s="3">
        <v>123</v>
      </c>
    </row>
    <row r="7" spans="1:7" x14ac:dyDescent="0.2">
      <c r="A7">
        <v>0</v>
      </c>
      <c r="B7">
        <v>9</v>
      </c>
      <c r="C7">
        <v>0.27910000000000001</v>
      </c>
      <c r="F7" s="2">
        <v>5</v>
      </c>
      <c r="G7" s="3">
        <v>53</v>
      </c>
    </row>
    <row r="8" spans="1:7" x14ac:dyDescent="0.2">
      <c r="A8">
        <v>0</v>
      </c>
      <c r="B8">
        <v>11</v>
      </c>
      <c r="C8">
        <v>0.63300000000000001</v>
      </c>
      <c r="F8" s="2">
        <v>6</v>
      </c>
      <c r="G8" s="3">
        <v>67</v>
      </c>
    </row>
    <row r="9" spans="1:7" x14ac:dyDescent="0.2">
      <c r="A9">
        <v>0</v>
      </c>
      <c r="B9">
        <v>12</v>
      </c>
      <c r="C9">
        <v>0.36080000000000001</v>
      </c>
      <c r="F9" s="2">
        <v>7</v>
      </c>
      <c r="G9" s="3">
        <v>28</v>
      </c>
    </row>
    <row r="10" spans="1:7" x14ac:dyDescent="0.2">
      <c r="A10">
        <v>0</v>
      </c>
      <c r="B10">
        <v>14</v>
      </c>
      <c r="C10">
        <v>0.2445</v>
      </c>
      <c r="F10" s="2">
        <v>8</v>
      </c>
      <c r="G10" s="3">
        <v>6</v>
      </c>
    </row>
    <row r="11" spans="1:7" x14ac:dyDescent="0.2">
      <c r="A11">
        <v>0</v>
      </c>
      <c r="B11">
        <v>15</v>
      </c>
      <c r="C11">
        <v>0.2213</v>
      </c>
      <c r="F11" s="2">
        <v>9</v>
      </c>
      <c r="G11" s="3">
        <v>3</v>
      </c>
    </row>
    <row r="12" spans="1:7" x14ac:dyDescent="0.2">
      <c r="A12">
        <v>0</v>
      </c>
      <c r="B12">
        <v>17</v>
      </c>
      <c r="C12">
        <v>0.1177</v>
      </c>
      <c r="F12" s="2">
        <v>10</v>
      </c>
      <c r="G12" s="3">
        <v>38</v>
      </c>
    </row>
    <row r="13" spans="1:7" x14ac:dyDescent="0.2">
      <c r="A13">
        <v>0</v>
      </c>
      <c r="B13">
        <v>18</v>
      </c>
      <c r="C13">
        <v>0.15040000000000001</v>
      </c>
      <c r="F13" s="2">
        <v>11</v>
      </c>
      <c r="G13" s="3">
        <v>51</v>
      </c>
    </row>
    <row r="14" spans="1:7" x14ac:dyDescent="0.2">
      <c r="A14">
        <v>0</v>
      </c>
      <c r="B14">
        <v>21</v>
      </c>
      <c r="C14">
        <v>0.30740000000000001</v>
      </c>
      <c r="F14" s="2">
        <v>13</v>
      </c>
      <c r="G14" s="3">
        <v>14</v>
      </c>
    </row>
    <row r="15" spans="1:7" x14ac:dyDescent="0.2">
      <c r="A15">
        <v>0</v>
      </c>
      <c r="B15">
        <v>24</v>
      </c>
      <c r="C15">
        <v>0.36380000000000001</v>
      </c>
      <c r="F15" s="2">
        <v>15</v>
      </c>
      <c r="G15" s="3">
        <v>0</v>
      </c>
    </row>
    <row r="16" spans="1:7" x14ac:dyDescent="0.2">
      <c r="A16">
        <v>0</v>
      </c>
      <c r="B16">
        <v>25</v>
      </c>
      <c r="C16">
        <v>0.13519999999999999</v>
      </c>
      <c r="F16" s="2">
        <v>16</v>
      </c>
      <c r="G16" s="3">
        <v>24</v>
      </c>
    </row>
    <row r="17" spans="1:7" x14ac:dyDescent="0.2">
      <c r="A17">
        <v>0</v>
      </c>
      <c r="B17">
        <v>27</v>
      </c>
      <c r="C17">
        <v>0.37069999999999997</v>
      </c>
      <c r="F17" s="2">
        <v>18</v>
      </c>
      <c r="G17" s="3">
        <v>12</v>
      </c>
    </row>
    <row r="18" spans="1:7" x14ac:dyDescent="0.2">
      <c r="A18">
        <v>0</v>
      </c>
      <c r="B18">
        <v>30</v>
      </c>
      <c r="C18">
        <v>0.5252</v>
      </c>
      <c r="F18" s="2">
        <v>19</v>
      </c>
      <c r="G18" s="3">
        <v>0</v>
      </c>
    </row>
    <row r="19" spans="1:7" x14ac:dyDescent="0.2">
      <c r="A19">
        <v>0</v>
      </c>
      <c r="B19">
        <v>31</v>
      </c>
      <c r="C19">
        <v>0.43559999999999999</v>
      </c>
      <c r="F19" s="2">
        <v>20</v>
      </c>
      <c r="G19" s="3">
        <v>14</v>
      </c>
    </row>
    <row r="20" spans="1:7" x14ac:dyDescent="0.2">
      <c r="A20">
        <v>1</v>
      </c>
      <c r="B20">
        <v>0</v>
      </c>
      <c r="C20">
        <v>0.17199999999999999</v>
      </c>
      <c r="F20" s="2">
        <v>21</v>
      </c>
      <c r="G20" s="3">
        <v>23</v>
      </c>
    </row>
    <row r="21" spans="1:7" x14ac:dyDescent="0.2">
      <c r="A21">
        <v>1</v>
      </c>
      <c r="B21">
        <v>1</v>
      </c>
      <c r="C21">
        <v>0.3296</v>
      </c>
      <c r="F21" s="2">
        <v>22</v>
      </c>
      <c r="G21" s="3">
        <v>35</v>
      </c>
    </row>
    <row r="22" spans="1:7" x14ac:dyDescent="0.2">
      <c r="A22">
        <v>1</v>
      </c>
      <c r="B22">
        <v>2</v>
      </c>
      <c r="C22">
        <v>0.79049999999999998</v>
      </c>
      <c r="F22" s="2">
        <v>23</v>
      </c>
      <c r="G22" s="3">
        <v>0</v>
      </c>
    </row>
    <row r="23" spans="1:7" x14ac:dyDescent="0.2">
      <c r="A23">
        <v>1</v>
      </c>
      <c r="B23">
        <v>3</v>
      </c>
      <c r="C23">
        <v>0.51919999999999999</v>
      </c>
      <c r="F23" s="2">
        <v>25</v>
      </c>
      <c r="G23" s="3">
        <v>20</v>
      </c>
    </row>
    <row r="24" spans="1:7" x14ac:dyDescent="0.2">
      <c r="A24">
        <v>1</v>
      </c>
      <c r="B24">
        <v>4</v>
      </c>
      <c r="C24">
        <v>0.16719999999999999</v>
      </c>
      <c r="F24" s="2">
        <v>27</v>
      </c>
      <c r="G24" s="3">
        <v>29</v>
      </c>
    </row>
    <row r="25" spans="1:7" x14ac:dyDescent="0.2">
      <c r="A25">
        <v>1</v>
      </c>
      <c r="B25">
        <v>6</v>
      </c>
      <c r="C25">
        <v>0.96009999999999995</v>
      </c>
      <c r="F25" s="2">
        <v>28</v>
      </c>
      <c r="G25" s="3">
        <v>62</v>
      </c>
    </row>
    <row r="26" spans="1:7" x14ac:dyDescent="0.2">
      <c r="A26">
        <v>1</v>
      </c>
      <c r="B26">
        <v>7</v>
      </c>
      <c r="C26">
        <v>0.55110000000000003</v>
      </c>
      <c r="F26" s="2">
        <v>29</v>
      </c>
      <c r="G26" s="3">
        <v>37</v>
      </c>
    </row>
    <row r="27" spans="1:7" x14ac:dyDescent="0.2">
      <c r="A27">
        <v>1</v>
      </c>
      <c r="B27">
        <v>8</v>
      </c>
      <c r="C27">
        <v>0.90639999999999998</v>
      </c>
      <c r="F27" s="2">
        <v>30</v>
      </c>
      <c r="G27" s="3">
        <v>65</v>
      </c>
    </row>
    <row r="28" spans="1:7" x14ac:dyDescent="0.2">
      <c r="A28">
        <v>1</v>
      </c>
      <c r="B28">
        <v>9</v>
      </c>
      <c r="C28">
        <v>0.1686</v>
      </c>
      <c r="F28" s="2" t="s">
        <v>4</v>
      </c>
      <c r="G28" s="3">
        <v>1881</v>
      </c>
    </row>
    <row r="29" spans="1:7" x14ac:dyDescent="0.2">
      <c r="A29">
        <v>1</v>
      </c>
      <c r="B29">
        <v>11</v>
      </c>
      <c r="C29">
        <v>0.31430000000000002</v>
      </c>
    </row>
    <row r="30" spans="1:7" x14ac:dyDescent="0.2">
      <c r="A30">
        <v>1</v>
      </c>
      <c r="B30">
        <v>12</v>
      </c>
      <c r="C30">
        <v>0.24809999999999999</v>
      </c>
    </row>
    <row r="31" spans="1:7" x14ac:dyDescent="0.2">
      <c r="A31">
        <v>1</v>
      </c>
      <c r="B31">
        <v>13</v>
      </c>
      <c r="C31">
        <v>0.73850000000000005</v>
      </c>
    </row>
    <row r="32" spans="1:7" x14ac:dyDescent="0.2">
      <c r="A32">
        <v>1</v>
      </c>
      <c r="B32">
        <v>14</v>
      </c>
      <c r="C32">
        <v>0.74209999999999998</v>
      </c>
    </row>
    <row r="33" spans="1:3" x14ac:dyDescent="0.2">
      <c r="A33">
        <v>1</v>
      </c>
      <c r="B33">
        <v>15</v>
      </c>
      <c r="C33">
        <v>0.59019999999999995</v>
      </c>
    </row>
    <row r="34" spans="1:3" x14ac:dyDescent="0.2">
      <c r="A34">
        <v>1</v>
      </c>
      <c r="B34">
        <v>16</v>
      </c>
      <c r="C34">
        <v>0.27550000000000002</v>
      </c>
    </row>
    <row r="35" spans="1:3" x14ac:dyDescent="0.2">
      <c r="A35">
        <v>1</v>
      </c>
      <c r="B35">
        <v>17</v>
      </c>
      <c r="C35">
        <v>0.17</v>
      </c>
    </row>
    <row r="36" spans="1:3" x14ac:dyDescent="0.2">
      <c r="A36">
        <v>1</v>
      </c>
      <c r="B36">
        <v>18</v>
      </c>
      <c r="C36">
        <v>0.86960000000000004</v>
      </c>
    </row>
    <row r="37" spans="1:3" x14ac:dyDescent="0.2">
      <c r="A37">
        <v>1</v>
      </c>
      <c r="B37">
        <v>19</v>
      </c>
      <c r="C37">
        <v>0.51349999999999996</v>
      </c>
    </row>
    <row r="38" spans="1:3" x14ac:dyDescent="0.2">
      <c r="A38">
        <v>1</v>
      </c>
      <c r="B38">
        <v>20</v>
      </c>
      <c r="C38">
        <v>0.91259999999999997</v>
      </c>
    </row>
    <row r="39" spans="1:3" x14ac:dyDescent="0.2">
      <c r="A39">
        <v>1</v>
      </c>
      <c r="B39">
        <v>22</v>
      </c>
      <c r="C39">
        <v>0.14849999999999999</v>
      </c>
    </row>
    <row r="40" spans="1:3" x14ac:dyDescent="0.2">
      <c r="A40">
        <v>1</v>
      </c>
      <c r="B40">
        <v>23</v>
      </c>
      <c r="C40">
        <v>0.21160000000000001</v>
      </c>
    </row>
    <row r="41" spans="1:3" x14ac:dyDescent="0.2">
      <c r="A41">
        <v>1</v>
      </c>
      <c r="B41">
        <v>24</v>
      </c>
      <c r="C41">
        <v>0.38779999999999998</v>
      </c>
    </row>
    <row r="42" spans="1:3" x14ac:dyDescent="0.2">
      <c r="A42">
        <v>1</v>
      </c>
      <c r="B42">
        <v>25</v>
      </c>
      <c r="C42">
        <v>0.58450000000000002</v>
      </c>
    </row>
    <row r="43" spans="1:3" x14ac:dyDescent="0.2">
      <c r="A43">
        <v>1</v>
      </c>
      <c r="B43">
        <v>27</v>
      </c>
      <c r="C43">
        <v>0.68489999999999995</v>
      </c>
    </row>
    <row r="44" spans="1:3" x14ac:dyDescent="0.2">
      <c r="A44">
        <v>1</v>
      </c>
      <c r="B44">
        <v>28</v>
      </c>
      <c r="C44">
        <v>0.58240000000000003</v>
      </c>
    </row>
    <row r="45" spans="1:3" x14ac:dyDescent="0.2">
      <c r="A45">
        <v>1</v>
      </c>
      <c r="B45">
        <v>30</v>
      </c>
      <c r="C45">
        <v>0.43840000000000001</v>
      </c>
    </row>
    <row r="46" spans="1:3" x14ac:dyDescent="0.2">
      <c r="A46">
        <v>2</v>
      </c>
      <c r="B46">
        <v>5</v>
      </c>
      <c r="C46">
        <v>0.84109999999999996</v>
      </c>
    </row>
    <row r="47" spans="1:3" x14ac:dyDescent="0.2">
      <c r="A47">
        <v>2</v>
      </c>
      <c r="B47">
        <v>6</v>
      </c>
      <c r="C47">
        <v>0.25890000000000002</v>
      </c>
    </row>
    <row r="48" spans="1:3" x14ac:dyDescent="0.2">
      <c r="A48">
        <v>2</v>
      </c>
      <c r="B48">
        <v>7</v>
      </c>
      <c r="C48">
        <v>0.32950000000000002</v>
      </c>
    </row>
    <row r="49" spans="1:3" x14ac:dyDescent="0.2">
      <c r="A49">
        <v>2</v>
      </c>
      <c r="B49">
        <v>8</v>
      </c>
      <c r="C49">
        <v>0.96930000000000005</v>
      </c>
    </row>
    <row r="50" spans="1:3" x14ac:dyDescent="0.2">
      <c r="A50">
        <v>2</v>
      </c>
      <c r="B50">
        <v>9</v>
      </c>
      <c r="C50">
        <v>0.34889999999999999</v>
      </c>
    </row>
    <row r="51" spans="1:3" x14ac:dyDescent="0.2">
      <c r="A51">
        <v>2</v>
      </c>
      <c r="B51">
        <v>10</v>
      </c>
      <c r="C51">
        <v>0.96930000000000005</v>
      </c>
    </row>
    <row r="52" spans="1:3" x14ac:dyDescent="0.2">
      <c r="A52">
        <v>2</v>
      </c>
      <c r="B52">
        <v>11</v>
      </c>
      <c r="C52">
        <v>0.216</v>
      </c>
    </row>
    <row r="53" spans="1:3" x14ac:dyDescent="0.2">
      <c r="A53">
        <v>2</v>
      </c>
      <c r="B53">
        <v>12</v>
      </c>
      <c r="C53">
        <v>0.32440000000000002</v>
      </c>
    </row>
    <row r="54" spans="1:3" x14ac:dyDescent="0.2">
      <c r="A54">
        <v>2</v>
      </c>
      <c r="B54">
        <v>13</v>
      </c>
      <c r="C54">
        <v>0.24260000000000001</v>
      </c>
    </row>
    <row r="55" spans="1:3" x14ac:dyDescent="0.2">
      <c r="A55">
        <v>2</v>
      </c>
      <c r="B55">
        <v>14</v>
      </c>
      <c r="C55">
        <v>0.1331</v>
      </c>
    </row>
    <row r="56" spans="1:3" x14ac:dyDescent="0.2">
      <c r="A56">
        <v>2</v>
      </c>
      <c r="B56">
        <v>15</v>
      </c>
      <c r="C56">
        <v>0.111</v>
      </c>
    </row>
    <row r="57" spans="1:3" x14ac:dyDescent="0.2">
      <c r="A57">
        <v>2</v>
      </c>
      <c r="B57">
        <v>16</v>
      </c>
      <c r="C57">
        <v>0.85770000000000002</v>
      </c>
    </row>
    <row r="58" spans="1:3" x14ac:dyDescent="0.2">
      <c r="A58">
        <v>2</v>
      </c>
      <c r="B58">
        <v>18</v>
      </c>
      <c r="C58">
        <v>0.98599999999999999</v>
      </c>
    </row>
    <row r="59" spans="1:3" x14ac:dyDescent="0.2">
      <c r="A59">
        <v>2</v>
      </c>
      <c r="B59">
        <v>20</v>
      </c>
      <c r="C59">
        <v>0.26119999999999999</v>
      </c>
    </row>
    <row r="60" spans="1:3" x14ac:dyDescent="0.2">
      <c r="A60">
        <v>2</v>
      </c>
      <c r="B60">
        <v>21</v>
      </c>
      <c r="C60">
        <v>0.1741</v>
      </c>
    </row>
    <row r="61" spans="1:3" x14ac:dyDescent="0.2">
      <c r="A61">
        <v>2</v>
      </c>
      <c r="B61">
        <v>22</v>
      </c>
      <c r="C61">
        <v>0.84989999999999999</v>
      </c>
    </row>
    <row r="62" spans="1:3" x14ac:dyDescent="0.2">
      <c r="A62">
        <v>2</v>
      </c>
      <c r="B62">
        <v>24</v>
      </c>
      <c r="C62">
        <v>0.22259999999999999</v>
      </c>
    </row>
    <row r="63" spans="1:3" x14ac:dyDescent="0.2">
      <c r="A63">
        <v>2</v>
      </c>
      <c r="B63">
        <v>25</v>
      </c>
      <c r="C63">
        <v>0.1855</v>
      </c>
    </row>
    <row r="64" spans="1:3" x14ac:dyDescent="0.2">
      <c r="A64">
        <v>2</v>
      </c>
      <c r="B64">
        <v>28</v>
      </c>
      <c r="C64">
        <v>0.22170000000000001</v>
      </c>
    </row>
    <row r="65" spans="1:3" x14ac:dyDescent="0.2">
      <c r="A65">
        <v>2</v>
      </c>
      <c r="B65">
        <v>31</v>
      </c>
      <c r="C65">
        <v>0.48949999999999999</v>
      </c>
    </row>
    <row r="66" spans="1:3" x14ac:dyDescent="0.2">
      <c r="A66">
        <v>3</v>
      </c>
      <c r="B66">
        <v>2</v>
      </c>
      <c r="C66">
        <v>0.76280000000000003</v>
      </c>
    </row>
    <row r="67" spans="1:3" x14ac:dyDescent="0.2">
      <c r="A67">
        <v>3</v>
      </c>
      <c r="B67">
        <v>3</v>
      </c>
      <c r="C67">
        <v>0.4244</v>
      </c>
    </row>
    <row r="68" spans="1:3" x14ac:dyDescent="0.2">
      <c r="A68">
        <v>3</v>
      </c>
      <c r="B68">
        <v>7</v>
      </c>
      <c r="C68">
        <v>0.84099999999999997</v>
      </c>
    </row>
    <row r="69" spans="1:3" x14ac:dyDescent="0.2">
      <c r="A69">
        <v>3</v>
      </c>
      <c r="B69">
        <v>9</v>
      </c>
      <c r="C69">
        <v>0.2102</v>
      </c>
    </row>
    <row r="70" spans="1:3" x14ac:dyDescent="0.2">
      <c r="A70">
        <v>3</v>
      </c>
      <c r="B70">
        <v>10</v>
      </c>
      <c r="C70">
        <v>0.30109999999999998</v>
      </c>
    </row>
    <row r="71" spans="1:3" x14ac:dyDescent="0.2">
      <c r="A71">
        <v>3</v>
      </c>
      <c r="B71">
        <v>14</v>
      </c>
      <c r="C71">
        <v>0.94089999999999996</v>
      </c>
    </row>
    <row r="72" spans="1:3" x14ac:dyDescent="0.2">
      <c r="A72">
        <v>3</v>
      </c>
      <c r="B72">
        <v>21</v>
      </c>
      <c r="C72">
        <v>0.20180000000000001</v>
      </c>
    </row>
    <row r="73" spans="1:3" x14ac:dyDescent="0.2">
      <c r="A73">
        <v>3</v>
      </c>
      <c r="B73">
        <v>22</v>
      </c>
      <c r="C73">
        <v>0.27910000000000001</v>
      </c>
    </row>
    <row r="74" spans="1:3" x14ac:dyDescent="0.2">
      <c r="A74">
        <v>3</v>
      </c>
      <c r="B74">
        <v>23</v>
      </c>
      <c r="C74">
        <v>0.93689999999999996</v>
      </c>
    </row>
    <row r="75" spans="1:3" x14ac:dyDescent="0.2">
      <c r="A75">
        <v>3</v>
      </c>
      <c r="B75">
        <v>24</v>
      </c>
      <c r="C75">
        <v>0.25669999999999998</v>
      </c>
    </row>
    <row r="76" spans="1:3" x14ac:dyDescent="0.2">
      <c r="A76">
        <v>3</v>
      </c>
      <c r="B76">
        <v>26</v>
      </c>
      <c r="C76">
        <v>0.37680000000000002</v>
      </c>
    </row>
    <row r="77" spans="1:3" x14ac:dyDescent="0.2">
      <c r="A77">
        <v>3</v>
      </c>
      <c r="B77">
        <v>29</v>
      </c>
      <c r="C77">
        <v>0.79979999999999996</v>
      </c>
    </row>
    <row r="78" spans="1:3" x14ac:dyDescent="0.2">
      <c r="A78">
        <v>3</v>
      </c>
      <c r="B78">
        <v>30</v>
      </c>
      <c r="C78">
        <v>0.1123</v>
      </c>
    </row>
    <row r="79" spans="1:3" x14ac:dyDescent="0.2">
      <c r="A79">
        <v>4</v>
      </c>
      <c r="B79">
        <v>8</v>
      </c>
      <c r="C79">
        <v>0.2218</v>
      </c>
    </row>
    <row r="80" spans="1:3" x14ac:dyDescent="0.2">
      <c r="A80">
        <v>4</v>
      </c>
      <c r="B80">
        <v>9</v>
      </c>
      <c r="C80">
        <v>0.50360000000000005</v>
      </c>
    </row>
    <row r="81" spans="1:3" x14ac:dyDescent="0.2">
      <c r="A81">
        <v>4</v>
      </c>
      <c r="B81">
        <v>10</v>
      </c>
      <c r="C81">
        <v>0.23749999999999999</v>
      </c>
    </row>
    <row r="82" spans="1:3" x14ac:dyDescent="0.2">
      <c r="A82">
        <v>4</v>
      </c>
      <c r="B82">
        <v>12</v>
      </c>
      <c r="C82">
        <v>0.63739999999999997</v>
      </c>
    </row>
    <row r="83" spans="1:3" x14ac:dyDescent="0.2">
      <c r="A83">
        <v>4</v>
      </c>
      <c r="B83">
        <v>26</v>
      </c>
      <c r="C83">
        <v>0.1489</v>
      </c>
    </row>
    <row r="84" spans="1:3" x14ac:dyDescent="0.2">
      <c r="A84">
        <v>4</v>
      </c>
      <c r="B84">
        <v>27</v>
      </c>
      <c r="C84">
        <v>0.40239999999999998</v>
      </c>
    </row>
    <row r="85" spans="1:3" x14ac:dyDescent="0.2">
      <c r="A85">
        <v>4</v>
      </c>
      <c r="B85">
        <v>31</v>
      </c>
      <c r="C85">
        <v>0.44009999999999999</v>
      </c>
    </row>
    <row r="86" spans="1:3" x14ac:dyDescent="0.2">
      <c r="A86">
        <v>5</v>
      </c>
      <c r="B86">
        <v>10</v>
      </c>
      <c r="C86">
        <v>0.74460000000000004</v>
      </c>
    </row>
    <row r="87" spans="1:3" x14ac:dyDescent="0.2">
      <c r="A87">
        <v>5</v>
      </c>
      <c r="B87">
        <v>12</v>
      </c>
      <c r="C87">
        <v>0.11</v>
      </c>
    </row>
    <row r="88" spans="1:3" x14ac:dyDescent="0.2">
      <c r="A88">
        <v>5</v>
      </c>
      <c r="B88">
        <v>31</v>
      </c>
      <c r="C88">
        <v>0.106</v>
      </c>
    </row>
    <row r="89" spans="1:3" x14ac:dyDescent="0.2">
      <c r="A89">
        <v>6</v>
      </c>
      <c r="B89">
        <v>9</v>
      </c>
      <c r="C89">
        <v>0.57389999999999997</v>
      </c>
    </row>
    <row r="90" spans="1:3" x14ac:dyDescent="0.2">
      <c r="A90">
        <v>6</v>
      </c>
      <c r="B90">
        <v>27</v>
      </c>
      <c r="C90">
        <v>0.1321</v>
      </c>
    </row>
    <row r="91" spans="1:3" x14ac:dyDescent="0.2">
      <c r="A91">
        <v>6</v>
      </c>
      <c r="B91">
        <v>31</v>
      </c>
      <c r="C91">
        <v>0.29070000000000001</v>
      </c>
    </row>
    <row r="92" spans="1:3" x14ac:dyDescent="0.2">
      <c r="A92">
        <v>7</v>
      </c>
      <c r="B92">
        <v>28</v>
      </c>
      <c r="C92">
        <v>0.22539999999999999</v>
      </c>
    </row>
    <row r="93" spans="1:3" x14ac:dyDescent="0.2">
      <c r="A93">
        <v>8</v>
      </c>
      <c r="B93">
        <v>6</v>
      </c>
      <c r="C93">
        <v>0.34889999999999999</v>
      </c>
    </row>
    <row r="94" spans="1:3" x14ac:dyDescent="0.2">
      <c r="A94">
        <v>9</v>
      </c>
      <c r="B94">
        <v>3</v>
      </c>
      <c r="C94">
        <v>0.32229999999999998</v>
      </c>
    </row>
    <row r="95" spans="1:3" x14ac:dyDescent="0.2">
      <c r="A95">
        <v>10</v>
      </c>
      <c r="B95">
        <v>14</v>
      </c>
      <c r="C95">
        <v>0.2094</v>
      </c>
    </row>
    <row r="96" spans="1:3" x14ac:dyDescent="0.2">
      <c r="A96">
        <v>10</v>
      </c>
      <c r="B96">
        <v>24</v>
      </c>
      <c r="C96">
        <v>0.71889999999999998</v>
      </c>
    </row>
    <row r="97" spans="1:3" x14ac:dyDescent="0.2">
      <c r="A97">
        <v>11</v>
      </c>
      <c r="B97">
        <v>24</v>
      </c>
      <c r="C97">
        <v>0.19489999999999999</v>
      </c>
    </row>
    <row r="98" spans="1:3" x14ac:dyDescent="0.2">
      <c r="A98">
        <v>11</v>
      </c>
      <c r="B98">
        <v>27</v>
      </c>
      <c r="C98">
        <v>0.11459999999999999</v>
      </c>
    </row>
    <row r="99" spans="1:3" x14ac:dyDescent="0.2">
      <c r="A99">
        <v>13</v>
      </c>
      <c r="B99">
        <v>14</v>
      </c>
      <c r="C99">
        <v>0.27379999999999999</v>
      </c>
    </row>
    <row r="100" spans="1:3" x14ac:dyDescent="0.2">
      <c r="A100">
        <v>15</v>
      </c>
      <c r="B100">
        <v>0</v>
      </c>
      <c r="C100">
        <v>0.24099999999999999</v>
      </c>
    </row>
    <row r="101" spans="1:3" x14ac:dyDescent="0.2">
      <c r="A101">
        <v>16</v>
      </c>
      <c r="B101">
        <v>24</v>
      </c>
      <c r="C101">
        <v>0.10920000000000001</v>
      </c>
    </row>
    <row r="102" spans="1:3" x14ac:dyDescent="0.2">
      <c r="A102">
        <v>18</v>
      </c>
      <c r="B102">
        <v>12</v>
      </c>
      <c r="C102">
        <v>0.77659999999999996</v>
      </c>
    </row>
    <row r="103" spans="1:3" x14ac:dyDescent="0.2">
      <c r="A103">
        <v>19</v>
      </c>
      <c r="B103">
        <v>0</v>
      </c>
      <c r="C103">
        <v>0.20830000000000001</v>
      </c>
    </row>
    <row r="104" spans="1:3" x14ac:dyDescent="0.2">
      <c r="A104">
        <v>20</v>
      </c>
      <c r="B104">
        <v>1</v>
      </c>
      <c r="C104">
        <v>0.1336</v>
      </c>
    </row>
    <row r="105" spans="1:3" x14ac:dyDescent="0.2">
      <c r="A105">
        <v>20</v>
      </c>
      <c r="B105">
        <v>13</v>
      </c>
      <c r="C105">
        <v>0.17730000000000001</v>
      </c>
    </row>
    <row r="106" spans="1:3" x14ac:dyDescent="0.2">
      <c r="A106">
        <v>21</v>
      </c>
      <c r="B106">
        <v>3</v>
      </c>
      <c r="C106">
        <v>0.191</v>
      </c>
    </row>
    <row r="107" spans="1:3" x14ac:dyDescent="0.2">
      <c r="A107">
        <v>21</v>
      </c>
      <c r="B107">
        <v>7</v>
      </c>
      <c r="C107">
        <v>0.31319999999999998</v>
      </c>
    </row>
    <row r="108" spans="1:3" x14ac:dyDescent="0.2">
      <c r="A108">
        <v>21</v>
      </c>
      <c r="B108">
        <v>13</v>
      </c>
      <c r="C108">
        <v>0.15820000000000001</v>
      </c>
    </row>
    <row r="109" spans="1:3" x14ac:dyDescent="0.2">
      <c r="A109">
        <v>22</v>
      </c>
      <c r="B109">
        <v>16</v>
      </c>
      <c r="C109">
        <v>0.1236</v>
      </c>
    </row>
    <row r="110" spans="1:3" x14ac:dyDescent="0.2">
      <c r="A110">
        <v>22</v>
      </c>
      <c r="B110">
        <v>19</v>
      </c>
      <c r="C110">
        <v>0.10780000000000001</v>
      </c>
    </row>
    <row r="111" spans="1:3" x14ac:dyDescent="0.2">
      <c r="A111">
        <v>23</v>
      </c>
      <c r="B111">
        <v>0</v>
      </c>
      <c r="C111">
        <v>0.10970000000000001</v>
      </c>
    </row>
    <row r="112" spans="1:3" x14ac:dyDescent="0.2">
      <c r="A112">
        <v>25</v>
      </c>
      <c r="B112">
        <v>20</v>
      </c>
      <c r="C112">
        <v>0.18179999999999999</v>
      </c>
    </row>
    <row r="113" spans="1:3" x14ac:dyDescent="0.2">
      <c r="A113">
        <v>27</v>
      </c>
      <c r="B113">
        <v>0</v>
      </c>
      <c r="C113">
        <v>0.21829999999999999</v>
      </c>
    </row>
    <row r="114" spans="1:3" x14ac:dyDescent="0.2">
      <c r="A114">
        <v>27</v>
      </c>
      <c r="B114">
        <v>11</v>
      </c>
      <c r="C114">
        <v>0.501</v>
      </c>
    </row>
    <row r="115" spans="1:3" x14ac:dyDescent="0.2">
      <c r="A115">
        <v>27</v>
      </c>
      <c r="B115">
        <v>18</v>
      </c>
      <c r="C115">
        <v>0.27810000000000001</v>
      </c>
    </row>
    <row r="116" spans="1:3" x14ac:dyDescent="0.2">
      <c r="A116">
        <v>28</v>
      </c>
      <c r="B116">
        <v>17</v>
      </c>
      <c r="C116">
        <v>0.14510000000000001</v>
      </c>
    </row>
    <row r="117" spans="1:3" x14ac:dyDescent="0.2">
      <c r="A117">
        <v>28</v>
      </c>
      <c r="B117">
        <v>20</v>
      </c>
      <c r="C117">
        <v>0.65129999999999999</v>
      </c>
    </row>
    <row r="118" spans="1:3" x14ac:dyDescent="0.2">
      <c r="A118">
        <v>28</v>
      </c>
      <c r="B118">
        <v>25</v>
      </c>
      <c r="C118">
        <v>0.28160000000000002</v>
      </c>
    </row>
    <row r="119" spans="1:3" x14ac:dyDescent="0.2">
      <c r="A119">
        <v>29</v>
      </c>
      <c r="B119">
        <v>8</v>
      </c>
      <c r="C119">
        <v>0.13420000000000001</v>
      </c>
    </row>
    <row r="120" spans="1:3" x14ac:dyDescent="0.2">
      <c r="A120">
        <v>29</v>
      </c>
      <c r="B120">
        <v>14</v>
      </c>
      <c r="C120">
        <v>0.1341</v>
      </c>
    </row>
    <row r="121" spans="1:3" x14ac:dyDescent="0.2">
      <c r="A121">
        <v>29</v>
      </c>
      <c r="B121">
        <v>15</v>
      </c>
      <c r="C121">
        <v>0.26679999999999998</v>
      </c>
    </row>
    <row r="122" spans="1:3" x14ac:dyDescent="0.2">
      <c r="A122">
        <v>30</v>
      </c>
      <c r="B122">
        <v>5</v>
      </c>
      <c r="C122">
        <v>0.15840000000000001</v>
      </c>
    </row>
    <row r="123" spans="1:3" x14ac:dyDescent="0.2">
      <c r="A123">
        <v>30</v>
      </c>
      <c r="B123">
        <v>29</v>
      </c>
      <c r="C123">
        <v>0.73270000000000002</v>
      </c>
    </row>
    <row r="124" spans="1:3" x14ac:dyDescent="0.2">
      <c r="A124">
        <v>30</v>
      </c>
      <c r="B124">
        <v>31</v>
      </c>
      <c r="C124">
        <v>0.21590000000000001</v>
      </c>
    </row>
  </sheetData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1DA6-EE89-B248-9AB8-D60D8EE35C20}">
  <dimension ref="A1:G120"/>
  <sheetViews>
    <sheetView tabSelected="1" zoomScale="140" zoomScaleNormal="140" workbookViewId="0">
      <selection activeCell="C2" sqref="C2"/>
    </sheetView>
  </sheetViews>
  <sheetFormatPr baseColWidth="10" defaultRowHeight="16" x14ac:dyDescent="0.2"/>
  <cols>
    <col min="1" max="2" width="7.6640625" bestFit="1" customWidth="1"/>
    <col min="3" max="3" width="18" bestFit="1" customWidth="1"/>
    <col min="6" max="6" width="13" bestFit="1" customWidth="1"/>
    <col min="7" max="7" width="11.5" bestFit="1" customWidth="1"/>
  </cols>
  <sheetData>
    <row r="1" spans="1:7" x14ac:dyDescent="0.2">
      <c r="A1" t="s">
        <v>0</v>
      </c>
      <c r="B1" t="s">
        <v>1</v>
      </c>
      <c r="C1" t="s">
        <v>2</v>
      </c>
      <c r="F1" s="1" t="s">
        <v>3</v>
      </c>
      <c r="G1" t="s">
        <v>5</v>
      </c>
    </row>
    <row r="2" spans="1:7" x14ac:dyDescent="0.2">
      <c r="A2">
        <v>35</v>
      </c>
      <c r="B2">
        <v>2</v>
      </c>
      <c r="C2">
        <v>0.29980000000000001</v>
      </c>
      <c r="F2" s="2">
        <v>0</v>
      </c>
      <c r="G2" s="3">
        <v>510</v>
      </c>
    </row>
    <row r="3" spans="1:7" x14ac:dyDescent="0.2">
      <c r="A3">
        <v>34</v>
      </c>
      <c r="B3">
        <v>37</v>
      </c>
      <c r="C3">
        <v>0.1008</v>
      </c>
      <c r="F3" s="2">
        <v>1</v>
      </c>
      <c r="G3" s="3">
        <v>497</v>
      </c>
    </row>
    <row r="4" spans="1:7" x14ac:dyDescent="0.2">
      <c r="A4">
        <v>34</v>
      </c>
      <c r="B4">
        <v>2</v>
      </c>
      <c r="C4">
        <v>0.2432</v>
      </c>
      <c r="D4" s="4"/>
      <c r="F4" s="2">
        <v>2</v>
      </c>
      <c r="G4" s="3">
        <v>260</v>
      </c>
    </row>
    <row r="5" spans="1:7" x14ac:dyDescent="0.2">
      <c r="A5">
        <v>34</v>
      </c>
      <c r="B5">
        <v>12</v>
      </c>
      <c r="C5">
        <v>0.53939999999999999</v>
      </c>
      <c r="F5" s="2">
        <v>3</v>
      </c>
      <c r="G5" s="3">
        <v>180</v>
      </c>
    </row>
    <row r="6" spans="1:7" x14ac:dyDescent="0.2">
      <c r="A6">
        <v>33</v>
      </c>
      <c r="B6">
        <v>27</v>
      </c>
      <c r="C6">
        <v>0.11360000000000001</v>
      </c>
      <c r="F6" s="2">
        <v>4</v>
      </c>
      <c r="G6" s="3">
        <v>64</v>
      </c>
    </row>
    <row r="7" spans="1:7" x14ac:dyDescent="0.2">
      <c r="A7">
        <v>33</v>
      </c>
      <c r="B7">
        <v>19</v>
      </c>
      <c r="C7">
        <v>0.16109999999999999</v>
      </c>
      <c r="F7" s="2">
        <v>5</v>
      </c>
      <c r="G7" s="3">
        <v>33</v>
      </c>
    </row>
    <row r="8" spans="1:7" x14ac:dyDescent="0.2">
      <c r="A8">
        <v>33</v>
      </c>
      <c r="B8">
        <v>35</v>
      </c>
      <c r="C8">
        <v>0.4924</v>
      </c>
      <c r="F8" s="2">
        <v>6</v>
      </c>
      <c r="G8" s="3">
        <v>6</v>
      </c>
    </row>
    <row r="9" spans="1:7" x14ac:dyDescent="0.2">
      <c r="A9">
        <v>33</v>
      </c>
      <c r="B9">
        <v>33</v>
      </c>
      <c r="C9">
        <v>0.55800000000000005</v>
      </c>
      <c r="F9" s="2">
        <v>7</v>
      </c>
      <c r="G9" s="3">
        <v>31</v>
      </c>
    </row>
    <row r="10" spans="1:7" x14ac:dyDescent="0.2">
      <c r="A10">
        <v>33</v>
      </c>
      <c r="B10">
        <v>32</v>
      </c>
      <c r="C10">
        <v>0.5907</v>
      </c>
      <c r="F10" s="2">
        <v>8</v>
      </c>
      <c r="G10" s="3">
        <v>45</v>
      </c>
    </row>
    <row r="11" spans="1:7" x14ac:dyDescent="0.2">
      <c r="A11">
        <v>33</v>
      </c>
      <c r="B11">
        <v>0</v>
      </c>
      <c r="C11">
        <v>0.76439999999999997</v>
      </c>
      <c r="F11" s="2">
        <v>9</v>
      </c>
      <c r="G11" s="3">
        <v>94</v>
      </c>
    </row>
    <row r="12" spans="1:7" x14ac:dyDescent="0.2">
      <c r="A12">
        <v>33</v>
      </c>
      <c r="B12">
        <v>16</v>
      </c>
      <c r="C12">
        <v>0.87660000000000005</v>
      </c>
      <c r="F12" s="2">
        <v>10</v>
      </c>
      <c r="G12" s="3">
        <v>1</v>
      </c>
    </row>
    <row r="13" spans="1:7" x14ac:dyDescent="0.2">
      <c r="A13">
        <v>32</v>
      </c>
      <c r="B13">
        <v>1</v>
      </c>
      <c r="C13">
        <v>0.12</v>
      </c>
      <c r="F13" s="2">
        <v>11</v>
      </c>
      <c r="G13" s="3">
        <v>33</v>
      </c>
    </row>
    <row r="14" spans="1:7" x14ac:dyDescent="0.2">
      <c r="A14">
        <v>32</v>
      </c>
      <c r="B14">
        <v>35</v>
      </c>
      <c r="C14">
        <v>0.48409999999999997</v>
      </c>
      <c r="F14" s="2">
        <v>12</v>
      </c>
      <c r="G14" s="3">
        <v>47</v>
      </c>
    </row>
    <row r="15" spans="1:7" x14ac:dyDescent="0.2">
      <c r="A15">
        <v>30</v>
      </c>
      <c r="B15">
        <v>0</v>
      </c>
      <c r="C15">
        <v>0.52170000000000005</v>
      </c>
      <c r="F15" s="2">
        <v>14</v>
      </c>
      <c r="G15" s="3">
        <v>7</v>
      </c>
    </row>
    <row r="16" spans="1:7" x14ac:dyDescent="0.2">
      <c r="A16">
        <v>29</v>
      </c>
      <c r="B16">
        <v>34</v>
      </c>
      <c r="C16">
        <v>0.13650000000000001</v>
      </c>
      <c r="F16" s="2">
        <v>15</v>
      </c>
      <c r="G16" s="3">
        <v>8</v>
      </c>
    </row>
    <row r="17" spans="1:7" x14ac:dyDescent="0.2">
      <c r="A17">
        <v>26</v>
      </c>
      <c r="B17">
        <v>9</v>
      </c>
      <c r="C17">
        <v>0.1416</v>
      </c>
      <c r="F17" s="2">
        <v>16</v>
      </c>
      <c r="G17" s="3">
        <v>70</v>
      </c>
    </row>
    <row r="18" spans="1:7" x14ac:dyDescent="0.2">
      <c r="A18">
        <v>25</v>
      </c>
      <c r="B18">
        <v>2</v>
      </c>
      <c r="C18">
        <v>0.11609999999999999</v>
      </c>
      <c r="F18" s="2">
        <v>18</v>
      </c>
      <c r="G18" s="3">
        <v>59</v>
      </c>
    </row>
    <row r="19" spans="1:7" x14ac:dyDescent="0.2">
      <c r="A19">
        <v>25</v>
      </c>
      <c r="B19">
        <v>28</v>
      </c>
      <c r="C19">
        <v>0.2419</v>
      </c>
      <c r="F19" s="2">
        <v>19</v>
      </c>
      <c r="G19" s="3">
        <v>87</v>
      </c>
    </row>
    <row r="20" spans="1:7" x14ac:dyDescent="0.2">
      <c r="A20">
        <v>19</v>
      </c>
      <c r="B20">
        <v>33</v>
      </c>
      <c r="C20">
        <v>0.1043</v>
      </c>
      <c r="F20" s="2">
        <v>25</v>
      </c>
      <c r="G20" s="3">
        <v>30</v>
      </c>
    </row>
    <row r="21" spans="1:7" x14ac:dyDescent="0.2">
      <c r="A21">
        <v>19</v>
      </c>
      <c r="B21">
        <v>28</v>
      </c>
      <c r="C21">
        <v>0.14219999999999999</v>
      </c>
      <c r="F21" s="2">
        <v>26</v>
      </c>
      <c r="G21" s="3">
        <v>9</v>
      </c>
    </row>
    <row r="22" spans="1:7" x14ac:dyDescent="0.2">
      <c r="A22">
        <v>19</v>
      </c>
      <c r="B22">
        <v>11</v>
      </c>
      <c r="C22">
        <v>0.35470000000000002</v>
      </c>
      <c r="F22" s="2">
        <v>29</v>
      </c>
      <c r="G22" s="3">
        <v>34</v>
      </c>
    </row>
    <row r="23" spans="1:7" x14ac:dyDescent="0.2">
      <c r="A23">
        <v>19</v>
      </c>
      <c r="B23">
        <v>15</v>
      </c>
      <c r="C23">
        <v>0.74260000000000004</v>
      </c>
      <c r="F23" s="2">
        <v>30</v>
      </c>
      <c r="G23" s="3">
        <v>0</v>
      </c>
    </row>
    <row r="24" spans="1:7" x14ac:dyDescent="0.2">
      <c r="A24">
        <v>18</v>
      </c>
      <c r="B24">
        <v>24</v>
      </c>
      <c r="C24">
        <v>0.20610000000000001</v>
      </c>
      <c r="F24" s="2">
        <v>32</v>
      </c>
      <c r="G24" s="3">
        <v>36</v>
      </c>
    </row>
    <row r="25" spans="1:7" x14ac:dyDescent="0.2">
      <c r="A25">
        <v>18</v>
      </c>
      <c r="B25">
        <v>35</v>
      </c>
      <c r="C25">
        <v>0.28070000000000001</v>
      </c>
      <c r="F25" s="2">
        <v>33</v>
      </c>
      <c r="G25" s="3">
        <v>162</v>
      </c>
    </row>
    <row r="26" spans="1:7" x14ac:dyDescent="0.2">
      <c r="A26">
        <v>16</v>
      </c>
      <c r="B26">
        <v>32</v>
      </c>
      <c r="C26">
        <v>0.11260000000000001</v>
      </c>
      <c r="F26" s="2">
        <v>34</v>
      </c>
      <c r="G26" s="3">
        <v>51</v>
      </c>
    </row>
    <row r="27" spans="1:7" x14ac:dyDescent="0.2">
      <c r="A27">
        <v>16</v>
      </c>
      <c r="B27">
        <v>1</v>
      </c>
      <c r="C27">
        <v>0.1159</v>
      </c>
      <c r="F27" s="2">
        <v>35</v>
      </c>
      <c r="G27" s="3">
        <v>2</v>
      </c>
    </row>
    <row r="28" spans="1:7" x14ac:dyDescent="0.2">
      <c r="A28">
        <v>16</v>
      </c>
      <c r="B28">
        <v>37</v>
      </c>
      <c r="C28">
        <v>0.185</v>
      </c>
      <c r="F28" s="2" t="s">
        <v>4</v>
      </c>
      <c r="G28" s="3">
        <v>2356</v>
      </c>
    </row>
    <row r="29" spans="1:7" x14ac:dyDescent="0.2">
      <c r="A29">
        <v>15</v>
      </c>
      <c r="B29">
        <v>8</v>
      </c>
      <c r="C29">
        <v>0.43530000000000002</v>
      </c>
    </row>
    <row r="30" spans="1:7" x14ac:dyDescent="0.2">
      <c r="A30">
        <v>14</v>
      </c>
      <c r="B30">
        <v>7</v>
      </c>
      <c r="C30">
        <v>0.55569999999999997</v>
      </c>
    </row>
    <row r="31" spans="1:7" x14ac:dyDescent="0.2">
      <c r="A31">
        <v>12</v>
      </c>
      <c r="B31">
        <v>15</v>
      </c>
      <c r="C31">
        <v>0.1166</v>
      </c>
    </row>
    <row r="32" spans="1:7" x14ac:dyDescent="0.2">
      <c r="A32">
        <v>12</v>
      </c>
      <c r="B32">
        <v>32</v>
      </c>
      <c r="C32">
        <v>0.1938</v>
      </c>
    </row>
    <row r="33" spans="1:3" x14ac:dyDescent="0.2">
      <c r="A33">
        <v>11</v>
      </c>
      <c r="B33">
        <v>20</v>
      </c>
      <c r="C33">
        <v>0.1676</v>
      </c>
    </row>
    <row r="34" spans="1:3" x14ac:dyDescent="0.2">
      <c r="A34">
        <v>11</v>
      </c>
      <c r="B34">
        <v>13</v>
      </c>
      <c r="C34">
        <v>0.82279999999999998</v>
      </c>
    </row>
    <row r="35" spans="1:3" x14ac:dyDescent="0.2">
      <c r="A35">
        <v>10</v>
      </c>
      <c r="B35">
        <v>1</v>
      </c>
      <c r="C35">
        <v>0.2102</v>
      </c>
    </row>
    <row r="36" spans="1:3" x14ac:dyDescent="0.2">
      <c r="A36">
        <v>9</v>
      </c>
      <c r="B36">
        <v>25</v>
      </c>
      <c r="C36">
        <v>0.1852</v>
      </c>
    </row>
    <row r="37" spans="1:3" x14ac:dyDescent="0.2">
      <c r="A37">
        <v>9</v>
      </c>
      <c r="B37">
        <v>35</v>
      </c>
      <c r="C37">
        <v>0.4042</v>
      </c>
    </row>
    <row r="38" spans="1:3" x14ac:dyDescent="0.2">
      <c r="A38">
        <v>9</v>
      </c>
      <c r="B38">
        <v>34</v>
      </c>
      <c r="C38">
        <v>0.54669999999999996</v>
      </c>
    </row>
    <row r="39" spans="1:3" x14ac:dyDescent="0.2">
      <c r="A39">
        <v>8</v>
      </c>
      <c r="B39">
        <v>13</v>
      </c>
      <c r="C39">
        <v>0.14810000000000001</v>
      </c>
    </row>
    <row r="40" spans="1:3" x14ac:dyDescent="0.2">
      <c r="A40">
        <v>8</v>
      </c>
      <c r="B40">
        <v>32</v>
      </c>
      <c r="C40">
        <v>0.2545</v>
      </c>
    </row>
    <row r="41" spans="1:3" x14ac:dyDescent="0.2">
      <c r="A41">
        <v>7</v>
      </c>
      <c r="B41">
        <v>31</v>
      </c>
      <c r="C41">
        <v>0.54190000000000005</v>
      </c>
    </row>
    <row r="42" spans="1:3" x14ac:dyDescent="0.2">
      <c r="A42">
        <v>6</v>
      </c>
      <c r="B42">
        <v>6</v>
      </c>
      <c r="C42">
        <v>0.47970000000000002</v>
      </c>
    </row>
    <row r="43" spans="1:3" x14ac:dyDescent="0.2">
      <c r="A43">
        <v>5</v>
      </c>
      <c r="B43">
        <v>5</v>
      </c>
      <c r="C43">
        <v>0.17019999999999999</v>
      </c>
    </row>
    <row r="44" spans="1:3" x14ac:dyDescent="0.2">
      <c r="A44">
        <v>5</v>
      </c>
      <c r="B44">
        <v>28</v>
      </c>
      <c r="C44">
        <v>0.56759999999999999</v>
      </c>
    </row>
    <row r="45" spans="1:3" x14ac:dyDescent="0.2">
      <c r="A45">
        <v>4</v>
      </c>
      <c r="B45">
        <v>37</v>
      </c>
      <c r="C45">
        <v>0.1618</v>
      </c>
    </row>
    <row r="46" spans="1:3" x14ac:dyDescent="0.2">
      <c r="A46">
        <v>4</v>
      </c>
      <c r="B46">
        <v>27</v>
      </c>
      <c r="C46">
        <v>0.19800000000000001</v>
      </c>
    </row>
    <row r="47" spans="1:3" x14ac:dyDescent="0.2">
      <c r="A47">
        <v>3</v>
      </c>
      <c r="B47">
        <v>4</v>
      </c>
      <c r="C47">
        <v>0.1032</v>
      </c>
    </row>
    <row r="48" spans="1:3" x14ac:dyDescent="0.2">
      <c r="A48">
        <v>3</v>
      </c>
      <c r="B48">
        <v>38</v>
      </c>
      <c r="C48">
        <v>0.1288</v>
      </c>
    </row>
    <row r="49" spans="1:3" x14ac:dyDescent="0.2">
      <c r="A49">
        <v>3</v>
      </c>
      <c r="B49">
        <v>20</v>
      </c>
      <c r="C49">
        <v>0.13320000000000001</v>
      </c>
    </row>
    <row r="50" spans="1:3" x14ac:dyDescent="0.2">
      <c r="A50">
        <v>3</v>
      </c>
      <c r="B50">
        <v>15</v>
      </c>
      <c r="C50">
        <v>0.15579999999999999</v>
      </c>
    </row>
    <row r="51" spans="1:3" x14ac:dyDescent="0.2">
      <c r="A51">
        <v>3</v>
      </c>
      <c r="B51">
        <v>0</v>
      </c>
      <c r="C51">
        <v>0.17660000000000001</v>
      </c>
    </row>
    <row r="52" spans="1:3" x14ac:dyDescent="0.2">
      <c r="A52">
        <v>3</v>
      </c>
      <c r="B52">
        <v>3</v>
      </c>
      <c r="C52">
        <v>0.27400000000000002</v>
      </c>
    </row>
    <row r="53" spans="1:3" x14ac:dyDescent="0.2">
      <c r="A53">
        <v>3</v>
      </c>
      <c r="B53">
        <v>32</v>
      </c>
      <c r="C53">
        <v>0.41880000000000001</v>
      </c>
    </row>
    <row r="54" spans="1:3" x14ac:dyDescent="0.2">
      <c r="A54">
        <v>3</v>
      </c>
      <c r="B54">
        <v>2</v>
      </c>
      <c r="C54">
        <v>0.51859999999999995</v>
      </c>
    </row>
    <row r="55" spans="1:3" x14ac:dyDescent="0.2">
      <c r="A55">
        <v>3</v>
      </c>
      <c r="B55">
        <v>8</v>
      </c>
      <c r="C55">
        <v>0.77390000000000003</v>
      </c>
    </row>
    <row r="56" spans="1:3" x14ac:dyDescent="0.2">
      <c r="A56">
        <v>3</v>
      </c>
      <c r="B56">
        <v>21</v>
      </c>
      <c r="C56">
        <v>0.79649999999999999</v>
      </c>
    </row>
    <row r="57" spans="1:3" x14ac:dyDescent="0.2">
      <c r="A57">
        <v>3</v>
      </c>
      <c r="B57">
        <v>7</v>
      </c>
      <c r="C57">
        <v>0.90790000000000004</v>
      </c>
    </row>
    <row r="58" spans="1:3" x14ac:dyDescent="0.2">
      <c r="A58">
        <v>3</v>
      </c>
      <c r="B58">
        <v>30</v>
      </c>
      <c r="C58">
        <v>0.90910000000000002</v>
      </c>
    </row>
    <row r="59" spans="1:3" x14ac:dyDescent="0.2">
      <c r="A59">
        <v>2</v>
      </c>
      <c r="B59">
        <v>11</v>
      </c>
      <c r="C59">
        <v>0.1096</v>
      </c>
    </row>
    <row r="60" spans="1:3" x14ac:dyDescent="0.2">
      <c r="A60">
        <v>2</v>
      </c>
      <c r="B60">
        <v>38</v>
      </c>
      <c r="C60">
        <v>0.19070000000000001</v>
      </c>
    </row>
    <row r="61" spans="1:3" x14ac:dyDescent="0.2">
      <c r="A61">
        <v>2</v>
      </c>
      <c r="B61">
        <v>20</v>
      </c>
      <c r="C61">
        <v>0.2145</v>
      </c>
    </row>
    <row r="62" spans="1:3" x14ac:dyDescent="0.2">
      <c r="A62">
        <v>2</v>
      </c>
      <c r="B62">
        <v>13</v>
      </c>
      <c r="C62">
        <v>0.2777</v>
      </c>
    </row>
    <row r="63" spans="1:3" x14ac:dyDescent="0.2">
      <c r="A63">
        <v>2</v>
      </c>
      <c r="B63">
        <v>34</v>
      </c>
      <c r="C63">
        <v>0.30690000000000001</v>
      </c>
    </row>
    <row r="64" spans="1:3" x14ac:dyDescent="0.2">
      <c r="A64">
        <v>2</v>
      </c>
      <c r="B64">
        <v>0</v>
      </c>
      <c r="C64">
        <v>0.59189999999999998</v>
      </c>
    </row>
    <row r="65" spans="1:3" x14ac:dyDescent="0.2">
      <c r="A65">
        <v>2</v>
      </c>
      <c r="B65">
        <v>16</v>
      </c>
      <c r="C65">
        <v>0.59619999999999995</v>
      </c>
    </row>
    <row r="66" spans="1:3" x14ac:dyDescent="0.2">
      <c r="A66">
        <v>2</v>
      </c>
      <c r="B66">
        <v>18</v>
      </c>
      <c r="C66">
        <v>0.67910000000000004</v>
      </c>
    </row>
    <row r="67" spans="1:3" x14ac:dyDescent="0.2">
      <c r="A67">
        <v>2</v>
      </c>
      <c r="B67">
        <v>12</v>
      </c>
      <c r="C67">
        <v>0.72270000000000001</v>
      </c>
    </row>
    <row r="68" spans="1:3" x14ac:dyDescent="0.2">
      <c r="A68">
        <v>2</v>
      </c>
      <c r="B68">
        <v>4</v>
      </c>
      <c r="C68">
        <v>0.73440000000000005</v>
      </c>
    </row>
    <row r="69" spans="1:3" x14ac:dyDescent="0.2">
      <c r="A69">
        <v>2</v>
      </c>
      <c r="B69">
        <v>14</v>
      </c>
      <c r="C69">
        <v>0.78080000000000005</v>
      </c>
    </row>
    <row r="70" spans="1:3" x14ac:dyDescent="0.2">
      <c r="A70">
        <v>2</v>
      </c>
      <c r="B70">
        <v>19</v>
      </c>
      <c r="C70">
        <v>0.82110000000000005</v>
      </c>
    </row>
    <row r="71" spans="1:3" x14ac:dyDescent="0.2">
      <c r="A71">
        <v>2</v>
      </c>
      <c r="B71">
        <v>7</v>
      </c>
      <c r="C71">
        <v>0.90780000000000005</v>
      </c>
    </row>
    <row r="72" spans="1:3" x14ac:dyDescent="0.2">
      <c r="A72">
        <v>2</v>
      </c>
      <c r="B72">
        <v>32</v>
      </c>
      <c r="C72">
        <v>0.9486</v>
      </c>
    </row>
    <row r="73" spans="1:3" x14ac:dyDescent="0.2">
      <c r="A73">
        <v>2</v>
      </c>
      <c r="B73">
        <v>22</v>
      </c>
      <c r="C73">
        <v>0.96750000000000003</v>
      </c>
    </row>
    <row r="74" spans="1:3" x14ac:dyDescent="0.2">
      <c r="A74">
        <v>1</v>
      </c>
      <c r="B74">
        <v>31</v>
      </c>
      <c r="C74">
        <v>0.11749999999999999</v>
      </c>
    </row>
    <row r="75" spans="1:3" x14ac:dyDescent="0.2">
      <c r="A75">
        <v>1</v>
      </c>
      <c r="B75">
        <v>28</v>
      </c>
      <c r="C75">
        <v>0.11840000000000001</v>
      </c>
    </row>
    <row r="76" spans="1:3" x14ac:dyDescent="0.2">
      <c r="A76">
        <v>1</v>
      </c>
      <c r="B76">
        <v>36</v>
      </c>
      <c r="C76">
        <v>0.1318</v>
      </c>
    </row>
    <row r="77" spans="1:3" x14ac:dyDescent="0.2">
      <c r="A77">
        <v>1</v>
      </c>
      <c r="B77">
        <v>9</v>
      </c>
      <c r="C77">
        <v>0.13370000000000001</v>
      </c>
    </row>
    <row r="78" spans="1:3" x14ac:dyDescent="0.2">
      <c r="A78">
        <v>1</v>
      </c>
      <c r="B78">
        <v>23</v>
      </c>
      <c r="C78">
        <v>0.1492</v>
      </c>
    </row>
    <row r="79" spans="1:3" x14ac:dyDescent="0.2">
      <c r="A79">
        <v>1</v>
      </c>
      <c r="B79">
        <v>20</v>
      </c>
      <c r="C79">
        <v>0.154</v>
      </c>
    </row>
    <row r="80" spans="1:3" x14ac:dyDescent="0.2">
      <c r="A80">
        <v>1</v>
      </c>
      <c r="B80">
        <v>13</v>
      </c>
      <c r="C80">
        <v>0.1648</v>
      </c>
    </row>
    <row r="81" spans="1:3" x14ac:dyDescent="0.2">
      <c r="A81">
        <v>1</v>
      </c>
      <c r="B81">
        <v>2</v>
      </c>
      <c r="C81">
        <v>0.1704</v>
      </c>
    </row>
    <row r="82" spans="1:3" x14ac:dyDescent="0.2">
      <c r="A82">
        <v>1</v>
      </c>
      <c r="B82">
        <v>8</v>
      </c>
      <c r="C82">
        <v>0.1716</v>
      </c>
    </row>
    <row r="83" spans="1:3" x14ac:dyDescent="0.2">
      <c r="A83">
        <v>1</v>
      </c>
      <c r="B83">
        <v>33</v>
      </c>
      <c r="C83">
        <v>0.18160000000000001</v>
      </c>
    </row>
    <row r="84" spans="1:3" x14ac:dyDescent="0.2">
      <c r="A84">
        <v>1</v>
      </c>
      <c r="B84">
        <v>12</v>
      </c>
      <c r="C84">
        <v>0.18870000000000001</v>
      </c>
    </row>
    <row r="85" spans="1:3" x14ac:dyDescent="0.2">
      <c r="A85">
        <v>1</v>
      </c>
      <c r="B85">
        <v>0</v>
      </c>
      <c r="C85">
        <v>0.19700000000000001</v>
      </c>
    </row>
    <row r="86" spans="1:3" x14ac:dyDescent="0.2">
      <c r="A86">
        <v>1</v>
      </c>
      <c r="B86">
        <v>16</v>
      </c>
      <c r="C86">
        <v>0.1971</v>
      </c>
    </row>
    <row r="87" spans="1:3" x14ac:dyDescent="0.2">
      <c r="A87">
        <v>1</v>
      </c>
      <c r="B87">
        <v>22</v>
      </c>
      <c r="C87">
        <v>0.20730000000000001</v>
      </c>
    </row>
    <row r="88" spans="1:3" x14ac:dyDescent="0.2">
      <c r="A88">
        <v>1</v>
      </c>
      <c r="B88">
        <v>34</v>
      </c>
      <c r="C88">
        <v>0.28849999999999998</v>
      </c>
    </row>
    <row r="89" spans="1:3" x14ac:dyDescent="0.2">
      <c r="A89">
        <v>1</v>
      </c>
      <c r="B89">
        <v>21</v>
      </c>
      <c r="C89">
        <v>0.34360000000000002</v>
      </c>
    </row>
    <row r="90" spans="1:3" x14ac:dyDescent="0.2">
      <c r="A90">
        <v>1</v>
      </c>
      <c r="B90">
        <v>35</v>
      </c>
      <c r="C90">
        <v>0.53820000000000001</v>
      </c>
    </row>
    <row r="91" spans="1:3" x14ac:dyDescent="0.2">
      <c r="A91">
        <v>1</v>
      </c>
      <c r="B91">
        <v>37</v>
      </c>
      <c r="C91">
        <v>0.56269999999999998</v>
      </c>
    </row>
    <row r="92" spans="1:3" x14ac:dyDescent="0.2">
      <c r="A92">
        <v>1</v>
      </c>
      <c r="B92">
        <v>14</v>
      </c>
      <c r="C92">
        <v>0.82210000000000005</v>
      </c>
    </row>
    <row r="93" spans="1:3" x14ac:dyDescent="0.2">
      <c r="A93">
        <v>1</v>
      </c>
      <c r="B93">
        <v>24</v>
      </c>
      <c r="C93">
        <v>0.84209999999999996</v>
      </c>
    </row>
    <row r="94" spans="1:3" x14ac:dyDescent="0.2">
      <c r="A94">
        <v>1</v>
      </c>
      <c r="B94">
        <v>38</v>
      </c>
      <c r="C94">
        <v>0.87829999999999997</v>
      </c>
    </row>
    <row r="95" spans="1:3" x14ac:dyDescent="0.2">
      <c r="A95">
        <v>1</v>
      </c>
      <c r="B95">
        <v>26</v>
      </c>
      <c r="C95">
        <v>0.96799999999999997</v>
      </c>
    </row>
    <row r="96" spans="1:3" x14ac:dyDescent="0.2">
      <c r="A96">
        <v>1</v>
      </c>
      <c r="B96">
        <v>15</v>
      </c>
      <c r="C96">
        <v>0.99050000000000005</v>
      </c>
    </row>
    <row r="97" spans="1:3" x14ac:dyDescent="0.2">
      <c r="A97">
        <v>0</v>
      </c>
      <c r="B97">
        <v>33</v>
      </c>
      <c r="C97">
        <v>0.10050000000000001</v>
      </c>
    </row>
    <row r="98" spans="1:3" x14ac:dyDescent="0.2">
      <c r="A98">
        <v>0</v>
      </c>
      <c r="B98">
        <v>1</v>
      </c>
      <c r="C98">
        <v>0.109</v>
      </c>
    </row>
    <row r="99" spans="1:3" x14ac:dyDescent="0.2">
      <c r="A99">
        <v>0</v>
      </c>
      <c r="B99">
        <v>14</v>
      </c>
      <c r="C99">
        <v>0.12559999999999999</v>
      </c>
    </row>
    <row r="100" spans="1:3" x14ac:dyDescent="0.2">
      <c r="A100">
        <v>0</v>
      </c>
      <c r="B100">
        <v>29</v>
      </c>
      <c r="C100">
        <v>0.13189999999999999</v>
      </c>
    </row>
    <row r="101" spans="1:3" x14ac:dyDescent="0.2">
      <c r="A101">
        <v>0</v>
      </c>
      <c r="B101">
        <v>11</v>
      </c>
      <c r="C101">
        <v>0.13769999999999999</v>
      </c>
    </row>
    <row r="102" spans="1:3" x14ac:dyDescent="0.2">
      <c r="A102">
        <v>0</v>
      </c>
      <c r="B102">
        <v>7</v>
      </c>
      <c r="C102">
        <v>0.152</v>
      </c>
    </row>
    <row r="103" spans="1:3" x14ac:dyDescent="0.2">
      <c r="A103">
        <v>0</v>
      </c>
      <c r="B103">
        <v>16</v>
      </c>
      <c r="C103">
        <v>0.1656</v>
      </c>
    </row>
    <row r="104" spans="1:3" x14ac:dyDescent="0.2">
      <c r="A104">
        <v>0</v>
      </c>
      <c r="B104">
        <v>35</v>
      </c>
      <c r="C104">
        <v>0.16919999999999999</v>
      </c>
    </row>
    <row r="105" spans="1:3" x14ac:dyDescent="0.2">
      <c r="A105">
        <v>0</v>
      </c>
      <c r="B105">
        <v>25</v>
      </c>
      <c r="C105">
        <v>0.19159999999999999</v>
      </c>
    </row>
    <row r="106" spans="1:3" x14ac:dyDescent="0.2">
      <c r="A106">
        <v>0</v>
      </c>
      <c r="B106">
        <v>32</v>
      </c>
      <c r="C106">
        <v>0.2087</v>
      </c>
    </row>
    <row r="107" spans="1:3" x14ac:dyDescent="0.2">
      <c r="A107">
        <v>0</v>
      </c>
      <c r="B107">
        <v>38</v>
      </c>
      <c r="C107">
        <v>0.2092</v>
      </c>
    </row>
    <row r="108" spans="1:3" x14ac:dyDescent="0.2">
      <c r="A108">
        <v>0</v>
      </c>
      <c r="B108">
        <v>19</v>
      </c>
      <c r="C108">
        <v>0.21790000000000001</v>
      </c>
    </row>
    <row r="109" spans="1:3" x14ac:dyDescent="0.2">
      <c r="A109">
        <v>0</v>
      </c>
      <c r="B109">
        <v>27</v>
      </c>
      <c r="C109">
        <v>0.22090000000000001</v>
      </c>
    </row>
    <row r="110" spans="1:3" x14ac:dyDescent="0.2">
      <c r="A110">
        <v>0</v>
      </c>
      <c r="B110">
        <v>9</v>
      </c>
      <c r="C110">
        <v>0.2361</v>
      </c>
    </row>
    <row r="111" spans="1:3" x14ac:dyDescent="0.2">
      <c r="A111">
        <v>0</v>
      </c>
      <c r="B111">
        <v>18</v>
      </c>
      <c r="C111">
        <v>0.2596</v>
      </c>
    </row>
    <row r="112" spans="1:3" x14ac:dyDescent="0.2">
      <c r="A112">
        <v>0</v>
      </c>
      <c r="B112">
        <v>5</v>
      </c>
      <c r="C112">
        <v>0.26619999999999999</v>
      </c>
    </row>
    <row r="113" spans="1:3" x14ac:dyDescent="0.2">
      <c r="A113">
        <v>0</v>
      </c>
      <c r="B113">
        <v>20</v>
      </c>
      <c r="C113">
        <v>0.28100000000000003</v>
      </c>
    </row>
    <row r="114" spans="1:3" x14ac:dyDescent="0.2">
      <c r="A114">
        <v>0</v>
      </c>
      <c r="B114">
        <v>26</v>
      </c>
      <c r="C114">
        <v>0.3342</v>
      </c>
    </row>
    <row r="115" spans="1:3" x14ac:dyDescent="0.2">
      <c r="A115">
        <v>0</v>
      </c>
      <c r="B115">
        <v>39</v>
      </c>
      <c r="C115">
        <v>0.3377</v>
      </c>
    </row>
    <row r="116" spans="1:3" x14ac:dyDescent="0.2">
      <c r="A116">
        <v>0</v>
      </c>
      <c r="B116">
        <v>3</v>
      </c>
      <c r="C116">
        <v>0.34560000000000002</v>
      </c>
    </row>
    <row r="117" spans="1:3" x14ac:dyDescent="0.2">
      <c r="A117">
        <v>0</v>
      </c>
      <c r="B117">
        <v>36</v>
      </c>
      <c r="C117">
        <v>0.39129999999999998</v>
      </c>
    </row>
    <row r="118" spans="1:3" x14ac:dyDescent="0.2">
      <c r="A118">
        <v>0</v>
      </c>
      <c r="B118">
        <v>6</v>
      </c>
      <c r="C118">
        <v>0.41789999999999999</v>
      </c>
    </row>
    <row r="119" spans="1:3" x14ac:dyDescent="0.2">
      <c r="A119">
        <v>0</v>
      </c>
      <c r="B119">
        <v>31</v>
      </c>
      <c r="C119">
        <v>0.50490000000000002</v>
      </c>
    </row>
    <row r="120" spans="1:3" x14ac:dyDescent="0.2">
      <c r="A120">
        <v>0</v>
      </c>
      <c r="B120">
        <v>30</v>
      </c>
      <c r="C120">
        <v>0.52100000000000002</v>
      </c>
    </row>
  </sheetData>
  <pageMargins left="0.75" right="0.75" top="1" bottom="1" header="0.5" footer="0.5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4E10-A934-8C44-80B0-97024CC11B48}">
  <dimension ref="A1:N128"/>
  <sheetViews>
    <sheetView zoomScale="110" zoomScaleNormal="110" workbookViewId="0">
      <pane ySplit="1" topLeftCell="A61" activePane="bottomLeft" state="frozen"/>
      <selection pane="bottomLeft" activeCell="H27" sqref="H27"/>
    </sheetView>
  </sheetViews>
  <sheetFormatPr baseColWidth="10" defaultRowHeight="16" x14ac:dyDescent="0.2"/>
  <cols>
    <col min="1" max="1" width="18.33203125" customWidth="1"/>
    <col min="2" max="10" width="15.83203125" customWidth="1"/>
  </cols>
  <sheetData>
    <row r="1" spans="1:10" ht="19" x14ac:dyDescent="0.25">
      <c r="A1" s="5" t="s">
        <v>6</v>
      </c>
    </row>
    <row r="3" spans="1:10" x14ac:dyDescent="0.2">
      <c r="A3" s="6" t="s">
        <v>7</v>
      </c>
    </row>
    <row r="4" spans="1:10" x14ac:dyDescent="0.2">
      <c r="A4" s="24" t="s">
        <v>8</v>
      </c>
      <c r="B4" s="21" t="s">
        <v>9</v>
      </c>
      <c r="C4" s="21" t="s">
        <v>10</v>
      </c>
      <c r="D4" s="21" t="s">
        <v>11</v>
      </c>
      <c r="E4" s="21" t="s">
        <v>12</v>
      </c>
      <c r="F4" s="21" t="s">
        <v>13</v>
      </c>
      <c r="G4" s="21" t="s">
        <v>14</v>
      </c>
      <c r="H4" s="21" t="s">
        <v>15</v>
      </c>
      <c r="I4" s="21" t="s">
        <v>16</v>
      </c>
      <c r="J4" s="29" t="s">
        <v>17</v>
      </c>
    </row>
    <row r="5" spans="1:10" x14ac:dyDescent="0.2">
      <c r="A5" s="25" t="s">
        <v>18</v>
      </c>
      <c r="B5" s="10" t="s">
        <v>19</v>
      </c>
      <c r="C5" s="10">
        <v>12</v>
      </c>
      <c r="D5" s="10">
        <v>12</v>
      </c>
      <c r="E5" s="10">
        <f>C5*D5</f>
        <v>144</v>
      </c>
      <c r="F5" s="10">
        <v>46</v>
      </c>
      <c r="G5" s="11">
        <f>F5/E5</f>
        <v>0.31944444444444442</v>
      </c>
      <c r="H5" s="12">
        <v>0.35610000000000003</v>
      </c>
      <c r="I5" s="12">
        <v>1</v>
      </c>
      <c r="J5" s="30">
        <v>4</v>
      </c>
    </row>
    <row r="6" spans="1:10" x14ac:dyDescent="0.2">
      <c r="A6" s="26" t="s">
        <v>20</v>
      </c>
      <c r="B6" s="13" t="s">
        <v>21</v>
      </c>
      <c r="C6" s="13">
        <v>24</v>
      </c>
      <c r="D6" s="13">
        <v>16</v>
      </c>
      <c r="E6" s="13">
        <f>C6*D6</f>
        <v>384</v>
      </c>
      <c r="F6" s="13">
        <v>71</v>
      </c>
      <c r="G6" s="14">
        <f>F6/E6</f>
        <v>0.18489583333333334</v>
      </c>
      <c r="H6" s="15">
        <v>0.37419999999999998</v>
      </c>
      <c r="I6" s="15">
        <v>0.9758</v>
      </c>
      <c r="J6" s="31">
        <v>3</v>
      </c>
    </row>
    <row r="7" spans="1:10" x14ac:dyDescent="0.2">
      <c r="A7" s="25" t="s">
        <v>22</v>
      </c>
      <c r="B7" s="10" t="s">
        <v>23</v>
      </c>
      <c r="C7" s="10">
        <v>16</v>
      </c>
      <c r="D7" s="10">
        <v>8</v>
      </c>
      <c r="E7" s="10">
        <f>C7*D7</f>
        <v>128</v>
      </c>
      <c r="F7" s="10">
        <v>28</v>
      </c>
      <c r="G7" s="11">
        <f>F7/E7</f>
        <v>0.21875</v>
      </c>
      <c r="H7" s="12">
        <v>0.44209999999999999</v>
      </c>
      <c r="I7" s="12">
        <v>0.99319999999999997</v>
      </c>
      <c r="J7" s="30">
        <v>3</v>
      </c>
    </row>
    <row r="8" spans="1:10" x14ac:dyDescent="0.2">
      <c r="A8" s="26" t="s">
        <v>24</v>
      </c>
      <c r="B8" s="13" t="s">
        <v>25</v>
      </c>
      <c r="C8" s="13">
        <v>32</v>
      </c>
      <c r="D8" s="13">
        <v>32</v>
      </c>
      <c r="E8" s="13">
        <f>C8*D8</f>
        <v>1024</v>
      </c>
      <c r="F8" s="13">
        <v>101</v>
      </c>
      <c r="G8" s="14">
        <f>F8/E8</f>
        <v>9.86328125E-2</v>
      </c>
      <c r="H8" s="15">
        <v>0.35880000000000001</v>
      </c>
      <c r="I8" s="15">
        <v>0.9909</v>
      </c>
      <c r="J8" s="31">
        <v>9</v>
      </c>
    </row>
    <row r="9" spans="1:10" x14ac:dyDescent="0.2">
      <c r="A9" s="25" t="s">
        <v>26</v>
      </c>
      <c r="B9" s="10" t="s">
        <v>27</v>
      </c>
      <c r="C9" s="10">
        <v>32</v>
      </c>
      <c r="D9" s="10">
        <v>32</v>
      </c>
      <c r="E9" s="10">
        <f>C9*D9</f>
        <v>1024</v>
      </c>
      <c r="F9" s="10">
        <v>123</v>
      </c>
      <c r="G9" s="11">
        <f>F9/E9</f>
        <v>0.1201171875</v>
      </c>
      <c r="H9" s="12">
        <v>0.38740000000000002</v>
      </c>
      <c r="I9" s="12">
        <v>0.98599999999999999</v>
      </c>
      <c r="J9" s="30">
        <v>8</v>
      </c>
    </row>
    <row r="10" spans="1:10" x14ac:dyDescent="0.2">
      <c r="A10" s="27" t="s">
        <v>28</v>
      </c>
      <c r="B10" s="17" t="s">
        <v>29</v>
      </c>
      <c r="C10" s="17">
        <v>36</v>
      </c>
      <c r="D10" s="17">
        <v>40</v>
      </c>
      <c r="E10" s="17">
        <f>C10*D10</f>
        <v>1440</v>
      </c>
      <c r="F10" s="17">
        <v>119</v>
      </c>
      <c r="G10" s="18">
        <f>F10/E10</f>
        <v>8.2638888888888887E-2</v>
      </c>
      <c r="H10" s="19">
        <v>0.3664</v>
      </c>
      <c r="I10" s="19">
        <v>0.99050000000000005</v>
      </c>
      <c r="J10" s="32">
        <v>7</v>
      </c>
    </row>
    <row r="12" spans="1:10" x14ac:dyDescent="0.2">
      <c r="A12" s="6" t="s">
        <v>30</v>
      </c>
    </row>
    <row r="13" spans="1:10" x14ac:dyDescent="0.2">
      <c r="A13" s="24" t="s">
        <v>8</v>
      </c>
      <c r="B13" s="21" t="s">
        <v>31</v>
      </c>
      <c r="C13" s="21" t="s">
        <v>32</v>
      </c>
      <c r="D13" s="21" t="s">
        <v>33</v>
      </c>
      <c r="E13" s="21" t="s">
        <v>34</v>
      </c>
      <c r="F13" s="21" t="s">
        <v>35</v>
      </c>
      <c r="G13" s="21" t="s">
        <v>36</v>
      </c>
      <c r="H13" s="29" t="s">
        <v>37</v>
      </c>
    </row>
    <row r="14" spans="1:10" x14ac:dyDescent="0.2">
      <c r="A14" s="25" t="s">
        <v>18</v>
      </c>
      <c r="B14" s="10" t="s">
        <v>38</v>
      </c>
      <c r="C14" s="10">
        <v>23</v>
      </c>
      <c r="D14" s="11">
        <f>C14/F5</f>
        <v>0.5</v>
      </c>
      <c r="E14" s="10" t="s">
        <v>39</v>
      </c>
      <c r="F14" s="10">
        <v>18</v>
      </c>
      <c r="G14" s="10" t="s">
        <v>40</v>
      </c>
      <c r="H14" s="30">
        <v>5</v>
      </c>
    </row>
    <row r="15" spans="1:10" x14ac:dyDescent="0.2">
      <c r="A15" s="26" t="s">
        <v>20</v>
      </c>
      <c r="B15" s="13" t="s">
        <v>41</v>
      </c>
      <c r="C15" s="13">
        <v>48</v>
      </c>
      <c r="D15" s="14">
        <f>C15/F6</f>
        <v>0.676056338028169</v>
      </c>
      <c r="E15" s="13" t="s">
        <v>42</v>
      </c>
      <c r="F15" s="13">
        <v>15</v>
      </c>
      <c r="G15" s="13" t="s">
        <v>43</v>
      </c>
      <c r="H15" s="31">
        <v>8</v>
      </c>
    </row>
    <row r="16" spans="1:10" x14ac:dyDescent="0.2">
      <c r="A16" s="25" t="s">
        <v>22</v>
      </c>
      <c r="B16" s="10" t="s">
        <v>44</v>
      </c>
      <c r="C16" s="10">
        <v>23</v>
      </c>
      <c r="D16" s="11">
        <f>C16/F7</f>
        <v>0.8214285714285714</v>
      </c>
      <c r="E16" s="10" t="s">
        <v>45</v>
      </c>
      <c r="F16" s="10">
        <v>4</v>
      </c>
      <c r="G16" s="10" t="s">
        <v>46</v>
      </c>
      <c r="H16" s="30">
        <v>1</v>
      </c>
    </row>
    <row r="17" spans="1:14" x14ac:dyDescent="0.2">
      <c r="A17" s="26" t="s">
        <v>24</v>
      </c>
      <c r="B17" s="13" t="s">
        <v>47</v>
      </c>
      <c r="C17" s="13">
        <v>66</v>
      </c>
      <c r="D17" s="14">
        <f>C17/F8</f>
        <v>0.65346534653465349</v>
      </c>
      <c r="E17" s="13" t="s">
        <v>48</v>
      </c>
      <c r="F17" s="13">
        <v>22</v>
      </c>
      <c r="G17" s="13" t="s">
        <v>49</v>
      </c>
      <c r="H17" s="31">
        <v>13</v>
      </c>
    </row>
    <row r="18" spans="1:14" x14ac:dyDescent="0.2">
      <c r="A18" s="25" t="s">
        <v>26</v>
      </c>
      <c r="B18" s="10" t="s">
        <v>47</v>
      </c>
      <c r="C18" s="10">
        <v>91</v>
      </c>
      <c r="D18" s="11">
        <f>C18/F9</f>
        <v>0.73983739837398377</v>
      </c>
      <c r="E18" s="10" t="s">
        <v>48</v>
      </c>
      <c r="F18" s="10">
        <v>19</v>
      </c>
      <c r="G18" s="10" t="s">
        <v>49</v>
      </c>
      <c r="H18" s="30">
        <v>13</v>
      </c>
    </row>
    <row r="19" spans="1:14" x14ac:dyDescent="0.2">
      <c r="A19" s="27" t="s">
        <v>28</v>
      </c>
      <c r="B19" s="17" t="s">
        <v>50</v>
      </c>
      <c r="C19" s="17">
        <v>82</v>
      </c>
      <c r="D19" s="18">
        <f>C19/F10</f>
        <v>0.68907563025210083</v>
      </c>
      <c r="E19" s="17" t="s">
        <v>51</v>
      </c>
      <c r="F19" s="17">
        <v>22</v>
      </c>
      <c r="G19" s="17" t="s">
        <v>52</v>
      </c>
      <c r="H19" s="32">
        <v>15</v>
      </c>
    </row>
    <row r="21" spans="1:14" x14ac:dyDescent="0.2">
      <c r="A21" s="6" t="s">
        <v>53</v>
      </c>
    </row>
    <row r="22" spans="1:14" x14ac:dyDescent="0.2">
      <c r="A22" s="24" t="s">
        <v>8</v>
      </c>
      <c r="B22" s="21" t="s">
        <v>54</v>
      </c>
      <c r="C22" s="21" t="s">
        <v>55</v>
      </c>
      <c r="D22" s="21" t="s">
        <v>56</v>
      </c>
      <c r="E22" s="21" t="s">
        <v>57</v>
      </c>
      <c r="F22" s="21" t="s">
        <v>58</v>
      </c>
      <c r="G22" s="29" t="s">
        <v>59</v>
      </c>
    </row>
    <row r="23" spans="1:14" x14ac:dyDescent="0.2">
      <c r="A23" s="25" t="s">
        <v>18</v>
      </c>
      <c r="B23" s="12">
        <v>0.34</v>
      </c>
      <c r="C23" s="12">
        <v>0.435</v>
      </c>
      <c r="D23" s="12">
        <v>0.246</v>
      </c>
      <c r="E23" s="12">
        <v>0.17299999999999999</v>
      </c>
      <c r="F23" s="12">
        <v>0.629</v>
      </c>
      <c r="G23" s="34">
        <f>H5</f>
        <v>0.35610000000000003</v>
      </c>
    </row>
    <row r="24" spans="1:14" x14ac:dyDescent="0.2">
      <c r="A24" s="26" t="s">
        <v>20</v>
      </c>
      <c r="B24" s="15">
        <v>0.46600000000000003</v>
      </c>
      <c r="C24" s="15">
        <v>0.32</v>
      </c>
      <c r="D24" s="15">
        <v>0.184</v>
      </c>
      <c r="E24" s="15">
        <v>0.159</v>
      </c>
      <c r="F24" s="15">
        <v>0.21299999999999999</v>
      </c>
      <c r="G24" s="35">
        <f>H6</f>
        <v>0.37419999999999998</v>
      </c>
    </row>
    <row r="25" spans="1:14" x14ac:dyDescent="0.2">
      <c r="A25" s="25" t="s">
        <v>22</v>
      </c>
      <c r="B25" s="12">
        <v>0.48599999999999999</v>
      </c>
      <c r="C25" s="12">
        <v>0.40100000000000002</v>
      </c>
      <c r="D25" s="12">
        <v>0.13900000000000001</v>
      </c>
      <c r="E25" s="12"/>
      <c r="F25" s="12">
        <v>0.123</v>
      </c>
      <c r="G25" s="34">
        <f>H7</f>
        <v>0.44209999999999999</v>
      </c>
    </row>
    <row r="26" spans="1:14" x14ac:dyDescent="0.2">
      <c r="A26" s="26" t="s">
        <v>24</v>
      </c>
      <c r="B26" s="15">
        <v>0.42799999999999999</v>
      </c>
      <c r="C26" s="15">
        <v>0.24299999999999999</v>
      </c>
      <c r="D26" s="15">
        <v>0.14099999999999999</v>
      </c>
      <c r="E26" s="15">
        <v>0.17699999999999999</v>
      </c>
      <c r="F26" s="15">
        <v>0.28999999999999998</v>
      </c>
      <c r="G26" s="35">
        <f>H8</f>
        <v>0.35880000000000001</v>
      </c>
    </row>
    <row r="27" spans="1:14" x14ac:dyDescent="0.2">
      <c r="A27" s="25" t="s">
        <v>26</v>
      </c>
      <c r="B27" s="12">
        <v>0.43</v>
      </c>
      <c r="C27" s="12">
        <v>0.30499999999999999</v>
      </c>
      <c r="D27" s="12">
        <v>0.32200000000000001</v>
      </c>
      <c r="E27" s="12">
        <v>0.16600000000000001</v>
      </c>
      <c r="F27" s="12">
        <v>0.31</v>
      </c>
      <c r="G27" s="34">
        <f>H9</f>
        <v>0.38740000000000002</v>
      </c>
    </row>
    <row r="28" spans="1:14" x14ac:dyDescent="0.2">
      <c r="A28" s="27" t="s">
        <v>28</v>
      </c>
      <c r="B28" s="19">
        <v>0.38500000000000001</v>
      </c>
      <c r="C28" s="19">
        <v>0.32800000000000001</v>
      </c>
      <c r="D28" s="19">
        <v>0.26800000000000002</v>
      </c>
      <c r="E28" s="19">
        <v>0.16700000000000001</v>
      </c>
      <c r="F28" s="19">
        <v>0.4</v>
      </c>
      <c r="G28" s="36">
        <f>H10</f>
        <v>0.3664</v>
      </c>
    </row>
    <row r="30" spans="1:14" x14ac:dyDescent="0.2">
      <c r="A30" s="6" t="s">
        <v>60</v>
      </c>
    </row>
    <row r="31" spans="1:14" x14ac:dyDescent="0.2">
      <c r="A31" s="24" t="s">
        <v>8</v>
      </c>
      <c r="B31" s="21" t="s">
        <v>61</v>
      </c>
      <c r="C31" s="21" t="s">
        <v>62</v>
      </c>
      <c r="D31" s="21" t="s">
        <v>63</v>
      </c>
      <c r="E31" s="29" t="s">
        <v>64</v>
      </c>
      <c r="G31" s="51" t="s">
        <v>94</v>
      </c>
      <c r="H31" s="51" t="s">
        <v>95</v>
      </c>
      <c r="I31" s="51" t="s">
        <v>96</v>
      </c>
      <c r="J31" s="51" t="s">
        <v>14</v>
      </c>
      <c r="K31" s="51" t="s">
        <v>97</v>
      </c>
      <c r="L31" s="51" t="s">
        <v>8</v>
      </c>
      <c r="M31" s="51" t="s">
        <v>95</v>
      </c>
      <c r="N31" s="51" t="s">
        <v>98</v>
      </c>
    </row>
    <row r="32" spans="1:14" x14ac:dyDescent="0.2">
      <c r="A32" s="25" t="s">
        <v>19</v>
      </c>
      <c r="B32" s="37">
        <v>160</v>
      </c>
      <c r="C32" s="11">
        <f>G5</f>
        <v>0.31944444444444442</v>
      </c>
      <c r="D32" s="11">
        <f>J5/F5</f>
        <v>8.6956521739130432E-2</v>
      </c>
      <c r="E32" s="40">
        <f>D14</f>
        <v>0.5</v>
      </c>
      <c r="G32" s="9">
        <f>E5</f>
        <v>144</v>
      </c>
      <c r="H32" s="9">
        <f>F5</f>
        <v>46</v>
      </c>
      <c r="I32" s="9">
        <f>G32-H32</f>
        <v>98</v>
      </c>
      <c r="J32" s="8">
        <f>G5</f>
        <v>0.31944444444444442</v>
      </c>
      <c r="K32" s="8">
        <f>1-J32</f>
        <v>0.68055555555555558</v>
      </c>
      <c r="L32" s="58" t="str">
        <f>A32</f>
        <v>160M</v>
      </c>
      <c r="M32" s="4">
        <f>H32</f>
        <v>46</v>
      </c>
      <c r="N32" s="4">
        <f>I32</f>
        <v>98</v>
      </c>
    </row>
    <row r="33" spans="1:14" x14ac:dyDescent="0.2">
      <c r="A33" s="26" t="s">
        <v>21</v>
      </c>
      <c r="B33" s="38">
        <v>410</v>
      </c>
      <c r="C33" s="14">
        <f>G6</f>
        <v>0.18489583333333334</v>
      </c>
      <c r="D33" s="14">
        <f>J6/F6</f>
        <v>4.2253521126760563E-2</v>
      </c>
      <c r="E33" s="41">
        <f>D15</f>
        <v>0.676056338028169</v>
      </c>
      <c r="G33" s="9">
        <f>E6</f>
        <v>384</v>
      </c>
      <c r="H33" s="9">
        <f>F6</f>
        <v>71</v>
      </c>
      <c r="I33" s="9">
        <f>G33-H33</f>
        <v>313</v>
      </c>
      <c r="J33" s="8">
        <f>G6</f>
        <v>0.18489583333333334</v>
      </c>
      <c r="K33" s="8">
        <f>1-J33</f>
        <v>0.81510416666666663</v>
      </c>
      <c r="L33" s="58" t="str">
        <f>A33</f>
        <v>410M</v>
      </c>
      <c r="M33" s="4">
        <f>H33</f>
        <v>71</v>
      </c>
      <c r="N33" s="4">
        <f>I33</f>
        <v>313</v>
      </c>
    </row>
    <row r="34" spans="1:14" x14ac:dyDescent="0.2">
      <c r="A34" s="25" t="s">
        <v>23</v>
      </c>
      <c r="B34" s="37">
        <v>1000</v>
      </c>
      <c r="C34" s="11">
        <f>G7</f>
        <v>0.21875</v>
      </c>
      <c r="D34" s="11">
        <f>J7/F7</f>
        <v>0.10714285714285714</v>
      </c>
      <c r="E34" s="40">
        <f>D16</f>
        <v>0.8214285714285714</v>
      </c>
      <c r="G34" s="9">
        <f>E7</f>
        <v>128</v>
      </c>
      <c r="H34" s="9">
        <f>F7</f>
        <v>28</v>
      </c>
      <c r="I34" s="9">
        <f>G34-H34</f>
        <v>100</v>
      </c>
      <c r="J34" s="8">
        <f>G7</f>
        <v>0.21875</v>
      </c>
      <c r="K34" s="8">
        <f>1-J34</f>
        <v>0.78125</v>
      </c>
      <c r="L34" s="58" t="str">
        <f>A34</f>
        <v>1B</v>
      </c>
      <c r="M34" s="4">
        <f>H34</f>
        <v>28</v>
      </c>
      <c r="N34" s="4">
        <f>I34</f>
        <v>100</v>
      </c>
    </row>
    <row r="35" spans="1:14" x14ac:dyDescent="0.2">
      <c r="A35" s="26" t="s">
        <v>25</v>
      </c>
      <c r="B35" s="38">
        <v>2800</v>
      </c>
      <c r="C35" s="14">
        <f>G8</f>
        <v>9.86328125E-2</v>
      </c>
      <c r="D35" s="14">
        <f>J8/F8</f>
        <v>8.9108910891089105E-2</v>
      </c>
      <c r="E35" s="41">
        <f>D17</f>
        <v>0.65346534653465349</v>
      </c>
      <c r="G35" s="9">
        <f>E8</f>
        <v>1024</v>
      </c>
      <c r="H35" s="9">
        <f>F8</f>
        <v>101</v>
      </c>
      <c r="I35" s="9">
        <f>G35-H35</f>
        <v>923</v>
      </c>
      <c r="J35" s="8">
        <f>G8</f>
        <v>9.86328125E-2</v>
      </c>
      <c r="K35" s="8">
        <f>1-J35</f>
        <v>0.9013671875</v>
      </c>
      <c r="L35" s="58" t="str">
        <f>A35</f>
        <v>2.8B</v>
      </c>
      <c r="M35" s="4">
        <f>H35</f>
        <v>101</v>
      </c>
      <c r="N35" s="4">
        <f>I35</f>
        <v>923</v>
      </c>
    </row>
    <row r="36" spans="1:14" x14ac:dyDescent="0.2">
      <c r="A36" s="25" t="s">
        <v>27</v>
      </c>
      <c r="B36" s="37">
        <v>6900</v>
      </c>
      <c r="C36" s="11">
        <f>G9</f>
        <v>0.1201171875</v>
      </c>
      <c r="D36" s="11">
        <f>J9/F9</f>
        <v>6.5040650406504072E-2</v>
      </c>
      <c r="E36" s="40">
        <f>D18</f>
        <v>0.73983739837398377</v>
      </c>
      <c r="G36" s="9">
        <f>E9</f>
        <v>1024</v>
      </c>
      <c r="H36" s="9">
        <f>F9</f>
        <v>123</v>
      </c>
      <c r="I36" s="9">
        <f>G36-H36</f>
        <v>901</v>
      </c>
      <c r="J36" s="8">
        <f>G9</f>
        <v>0.1201171875</v>
      </c>
      <c r="K36" s="8">
        <f>1-J36</f>
        <v>0.8798828125</v>
      </c>
      <c r="L36" s="58" t="str">
        <f>A36</f>
        <v>6.9B</v>
      </c>
      <c r="M36" s="4">
        <f>H36</f>
        <v>123</v>
      </c>
      <c r="N36" s="4">
        <f>I36</f>
        <v>901</v>
      </c>
    </row>
    <row r="37" spans="1:14" x14ac:dyDescent="0.2">
      <c r="A37" s="27" t="s">
        <v>29</v>
      </c>
      <c r="B37" s="39">
        <v>12000</v>
      </c>
      <c r="C37" s="18">
        <f>G10</f>
        <v>8.2638888888888887E-2</v>
      </c>
      <c r="D37" s="18">
        <f>J10/F10</f>
        <v>5.8823529411764705E-2</v>
      </c>
      <c r="E37" s="42">
        <f>D19</f>
        <v>0.68907563025210083</v>
      </c>
      <c r="G37" s="9">
        <f>E10</f>
        <v>1440</v>
      </c>
      <c r="H37" s="9">
        <f>F10</f>
        <v>119</v>
      </c>
      <c r="I37" s="9">
        <f>G37-H37</f>
        <v>1321</v>
      </c>
      <c r="J37" s="8">
        <f>G10</f>
        <v>8.2638888888888887E-2</v>
      </c>
      <c r="K37" s="8">
        <f>1-J37</f>
        <v>0.91736111111111107</v>
      </c>
      <c r="L37" s="58" t="str">
        <f>A37</f>
        <v>12B</v>
      </c>
      <c r="M37" s="4">
        <f>H37</f>
        <v>119</v>
      </c>
      <c r="N37" s="4">
        <f>I37</f>
        <v>1321</v>
      </c>
    </row>
    <row r="39" spans="1:14" x14ac:dyDescent="0.2">
      <c r="A39" s="6" t="s">
        <v>65</v>
      </c>
      <c r="L39" s="7" t="s">
        <v>8</v>
      </c>
      <c r="M39" s="7" t="s">
        <v>99</v>
      </c>
    </row>
    <row r="40" spans="1:14" x14ac:dyDescent="0.2">
      <c r="A40" s="24" t="s">
        <v>8</v>
      </c>
      <c r="B40" s="21" t="s">
        <v>66</v>
      </c>
      <c r="C40" s="21" t="s">
        <v>67</v>
      </c>
      <c r="D40" s="21" t="s">
        <v>68</v>
      </c>
      <c r="E40" s="21" t="s">
        <v>69</v>
      </c>
      <c r="F40" s="29" t="s">
        <v>70</v>
      </c>
      <c r="L40" t="str">
        <f>A32</f>
        <v>160M</v>
      </c>
      <c r="M40" s="57">
        <f>J32</f>
        <v>0.31944444444444442</v>
      </c>
    </row>
    <row r="41" spans="1:14" x14ac:dyDescent="0.2">
      <c r="A41" s="25" t="s">
        <v>19</v>
      </c>
      <c r="B41" s="10">
        <v>3</v>
      </c>
      <c r="C41" s="12">
        <v>0.80100000000000005</v>
      </c>
      <c r="D41" s="10" t="s">
        <v>71</v>
      </c>
      <c r="E41" s="12">
        <v>1</v>
      </c>
      <c r="F41" s="40">
        <f>B41/F5</f>
        <v>6.5217391304347824E-2</v>
      </c>
      <c r="L41" t="str">
        <f>A33</f>
        <v>410M</v>
      </c>
      <c r="M41" s="57">
        <f>J33</f>
        <v>0.18489583333333334</v>
      </c>
    </row>
    <row r="42" spans="1:14" x14ac:dyDescent="0.2">
      <c r="A42" s="26" t="s">
        <v>21</v>
      </c>
      <c r="B42" s="13">
        <v>2</v>
      </c>
      <c r="C42" s="15">
        <v>0.22700000000000001</v>
      </c>
      <c r="D42" s="13" t="s">
        <v>72</v>
      </c>
      <c r="E42" s="15">
        <v>0.33200000000000002</v>
      </c>
      <c r="F42" s="41">
        <f>B42/F6</f>
        <v>2.8169014084507043E-2</v>
      </c>
      <c r="L42" t="str">
        <f>A34</f>
        <v>1B</v>
      </c>
      <c r="M42" s="57">
        <f>J34</f>
        <v>0.21875</v>
      </c>
    </row>
    <row r="43" spans="1:14" x14ac:dyDescent="0.2">
      <c r="A43" s="25" t="s">
        <v>23</v>
      </c>
      <c r="B43" s="10">
        <v>1</v>
      </c>
      <c r="C43" s="12">
        <v>0.123</v>
      </c>
      <c r="D43" s="10" t="s">
        <v>73</v>
      </c>
      <c r="E43" s="12">
        <v>0.123</v>
      </c>
      <c r="F43" s="40">
        <f>B43/F7</f>
        <v>3.5714285714285712E-2</v>
      </c>
      <c r="L43" t="str">
        <f>A35</f>
        <v>2.8B</v>
      </c>
      <c r="M43" s="57">
        <f>J35</f>
        <v>9.86328125E-2</v>
      </c>
    </row>
    <row r="44" spans="1:14" x14ac:dyDescent="0.2">
      <c r="A44" s="26" t="s">
        <v>25</v>
      </c>
      <c r="B44" s="13">
        <v>4</v>
      </c>
      <c r="C44" s="15">
        <v>0.34</v>
      </c>
      <c r="D44" s="13" t="s">
        <v>74</v>
      </c>
      <c r="E44" s="15">
        <v>0.90200000000000002</v>
      </c>
      <c r="F44" s="41">
        <f>B44/F8</f>
        <v>3.9603960396039604E-2</v>
      </c>
      <c r="L44" t="str">
        <f>A36</f>
        <v>6.9B</v>
      </c>
      <c r="M44" s="57">
        <f>J36</f>
        <v>0.1201171875</v>
      </c>
    </row>
    <row r="45" spans="1:14" x14ac:dyDescent="0.2">
      <c r="A45" s="25" t="s">
        <v>27</v>
      </c>
      <c r="B45" s="10">
        <v>6</v>
      </c>
      <c r="C45" s="12">
        <v>0.27400000000000002</v>
      </c>
      <c r="D45" s="10" t="s">
        <v>75</v>
      </c>
      <c r="E45" s="12">
        <v>0.73299999999999998</v>
      </c>
      <c r="F45" s="40">
        <f>B45/F9</f>
        <v>4.878048780487805E-2</v>
      </c>
      <c r="L45" t="str">
        <f>A37</f>
        <v>12B</v>
      </c>
      <c r="M45" s="57">
        <f>J37</f>
        <v>8.2638888888888887E-2</v>
      </c>
    </row>
    <row r="46" spans="1:14" x14ac:dyDescent="0.2">
      <c r="A46" s="27" t="s">
        <v>29</v>
      </c>
      <c r="B46" s="17">
        <v>11</v>
      </c>
      <c r="C46" s="19">
        <v>0.43099999999999999</v>
      </c>
      <c r="D46" s="17" t="s">
        <v>76</v>
      </c>
      <c r="E46" s="19">
        <v>0.877</v>
      </c>
      <c r="F46" s="42">
        <f>B46/F10</f>
        <v>9.2436974789915971E-2</v>
      </c>
    </row>
    <row r="65" spans="1:4" x14ac:dyDescent="0.2">
      <c r="A65" s="6" t="s">
        <v>77</v>
      </c>
    </row>
    <row r="66" spans="1:4" x14ac:dyDescent="0.2">
      <c r="A66" s="24" t="s">
        <v>8</v>
      </c>
      <c r="B66" s="21" t="s">
        <v>78</v>
      </c>
      <c r="C66" s="21" t="s">
        <v>79</v>
      </c>
      <c r="D66" s="29" t="s">
        <v>80</v>
      </c>
    </row>
    <row r="67" spans="1:4" x14ac:dyDescent="0.2">
      <c r="A67" s="26" t="s">
        <v>19</v>
      </c>
      <c r="B67" s="14">
        <f>C14/F5</f>
        <v>0.5</v>
      </c>
      <c r="C67" s="14">
        <f>F14/F5</f>
        <v>0.39130434782608697</v>
      </c>
      <c r="D67" s="41">
        <f>H14/F5</f>
        <v>0.10869565217391304</v>
      </c>
    </row>
    <row r="68" spans="1:4" x14ac:dyDescent="0.2">
      <c r="A68" s="26" t="s">
        <v>21</v>
      </c>
      <c r="B68" s="14">
        <f>C15/F6</f>
        <v>0.676056338028169</v>
      </c>
      <c r="C68" s="14">
        <f>F15/F6</f>
        <v>0.21126760563380281</v>
      </c>
      <c r="D68" s="41">
        <f>H15/F6</f>
        <v>0.11267605633802817</v>
      </c>
    </row>
    <row r="69" spans="1:4" x14ac:dyDescent="0.2">
      <c r="A69" s="26" t="s">
        <v>23</v>
      </c>
      <c r="B69" s="14">
        <f>C16/F7</f>
        <v>0.8214285714285714</v>
      </c>
      <c r="C69" s="14">
        <f>F16/F7</f>
        <v>0.14285714285714285</v>
      </c>
      <c r="D69" s="41">
        <f>H16/F7</f>
        <v>3.5714285714285712E-2</v>
      </c>
    </row>
    <row r="70" spans="1:4" x14ac:dyDescent="0.2">
      <c r="A70" s="26" t="s">
        <v>25</v>
      </c>
      <c r="B70" s="14">
        <f>C17/F8</f>
        <v>0.65346534653465349</v>
      </c>
      <c r="C70" s="14">
        <f>F17/F8</f>
        <v>0.21782178217821782</v>
      </c>
      <c r="D70" s="41">
        <f>H17/F8</f>
        <v>0.12871287128712872</v>
      </c>
    </row>
    <row r="71" spans="1:4" x14ac:dyDescent="0.2">
      <c r="A71" s="26" t="s">
        <v>27</v>
      </c>
      <c r="B71" s="14">
        <f>C18/F9</f>
        <v>0.73983739837398377</v>
      </c>
      <c r="C71" s="14">
        <f>F18/F9</f>
        <v>0.15447154471544716</v>
      </c>
      <c r="D71" s="41">
        <f>H18/F9</f>
        <v>0.10569105691056911</v>
      </c>
    </row>
    <row r="72" spans="1:4" x14ac:dyDescent="0.2">
      <c r="A72" s="27" t="s">
        <v>29</v>
      </c>
      <c r="B72" s="18">
        <f>C19/F10</f>
        <v>0.68907563025210083</v>
      </c>
      <c r="C72" s="18">
        <f>F19/F10</f>
        <v>0.18487394957983194</v>
      </c>
      <c r="D72" s="42">
        <f>H19/F10</f>
        <v>0.12605042016806722</v>
      </c>
    </row>
    <row r="93" spans="1:13" x14ac:dyDescent="0.2">
      <c r="A93" s="6" t="s">
        <v>81</v>
      </c>
      <c r="G93" s="6" t="s">
        <v>86</v>
      </c>
    </row>
    <row r="94" spans="1:13" x14ac:dyDescent="0.2">
      <c r="A94" s="24" t="s">
        <v>8</v>
      </c>
      <c r="B94" s="21" t="s">
        <v>82</v>
      </c>
      <c r="C94" s="21" t="s">
        <v>83</v>
      </c>
      <c r="D94" s="21" t="s">
        <v>84</v>
      </c>
      <c r="E94" s="29" t="s">
        <v>85</v>
      </c>
      <c r="G94" s="52" t="s">
        <v>85</v>
      </c>
      <c r="H94" s="20" t="s">
        <v>19</v>
      </c>
      <c r="I94" s="20" t="s">
        <v>21</v>
      </c>
      <c r="J94" s="20" t="s">
        <v>23</v>
      </c>
      <c r="K94" s="20" t="s">
        <v>25</v>
      </c>
      <c r="L94" s="20" t="s">
        <v>27</v>
      </c>
      <c r="M94" s="55" t="s">
        <v>29</v>
      </c>
    </row>
    <row r="95" spans="1:13" x14ac:dyDescent="0.2">
      <c r="A95" s="47" t="s">
        <v>19</v>
      </c>
      <c r="B95" s="43">
        <v>11</v>
      </c>
      <c r="C95" s="43">
        <v>8</v>
      </c>
      <c r="D95" s="44">
        <v>1</v>
      </c>
      <c r="E95" s="49">
        <f>B95/(12-1)</f>
        <v>1</v>
      </c>
      <c r="G95" s="53" t="s">
        <v>87</v>
      </c>
      <c r="H95" s="15"/>
      <c r="I95" s="15">
        <v>0.9758</v>
      </c>
      <c r="J95" s="15">
        <v>0.96560000000000001</v>
      </c>
      <c r="K95" s="15">
        <v>0.97260000000000002</v>
      </c>
      <c r="L95" s="15"/>
      <c r="M95" s="33"/>
    </row>
    <row r="96" spans="1:13" x14ac:dyDescent="0.2">
      <c r="A96" s="47" t="s">
        <v>19</v>
      </c>
      <c r="B96" s="43">
        <v>11</v>
      </c>
      <c r="C96" s="43">
        <v>6</v>
      </c>
      <c r="D96" s="44">
        <v>0.97119999999999995</v>
      </c>
      <c r="E96" s="49">
        <f>B96/(12-1)</f>
        <v>1</v>
      </c>
      <c r="G96" s="53" t="s">
        <v>88</v>
      </c>
      <c r="H96" s="15"/>
      <c r="I96" s="15">
        <v>0.94040000000000001</v>
      </c>
      <c r="J96" s="15">
        <v>0.97040000000000004</v>
      </c>
      <c r="K96" s="15">
        <v>0.9909</v>
      </c>
      <c r="L96" s="15">
        <v>0.96009999999999995</v>
      </c>
      <c r="M96" s="33">
        <v>0.99050000000000005</v>
      </c>
    </row>
    <row r="97" spans="1:13" x14ac:dyDescent="0.2">
      <c r="A97" s="47" t="s">
        <v>19</v>
      </c>
      <c r="B97" s="43">
        <v>3</v>
      </c>
      <c r="C97" s="43">
        <v>0</v>
      </c>
      <c r="D97" s="44">
        <v>0.92430000000000001</v>
      </c>
      <c r="E97" s="49">
        <f>B97/(12-1)</f>
        <v>0.27272727272727271</v>
      </c>
      <c r="G97" s="53" t="s">
        <v>89</v>
      </c>
      <c r="H97" s="15"/>
      <c r="I97" s="15">
        <v>0.95909999999999995</v>
      </c>
      <c r="J97" s="15">
        <v>0.99319999999999997</v>
      </c>
      <c r="K97" s="15"/>
      <c r="L97" s="15">
        <v>0.98599999999999999</v>
      </c>
      <c r="M97" s="33">
        <v>0.96750000000000003</v>
      </c>
    </row>
    <row r="98" spans="1:13" x14ac:dyDescent="0.2">
      <c r="A98" s="47" t="s">
        <v>19</v>
      </c>
      <c r="B98" s="43">
        <v>3</v>
      </c>
      <c r="C98" s="43">
        <v>2</v>
      </c>
      <c r="D98" s="44">
        <v>0.91559999999999997</v>
      </c>
      <c r="E98" s="49">
        <f>B98/(12-1)</f>
        <v>0.27272727272727271</v>
      </c>
      <c r="G98" s="53" t="s">
        <v>90</v>
      </c>
      <c r="H98" s="15"/>
      <c r="I98" s="15"/>
      <c r="J98" s="15"/>
      <c r="K98" s="15"/>
      <c r="L98" s="15"/>
      <c r="M98" s="33"/>
    </row>
    <row r="99" spans="1:13" x14ac:dyDescent="0.2">
      <c r="A99" s="47" t="s">
        <v>21</v>
      </c>
      <c r="B99" s="43">
        <v>0</v>
      </c>
      <c r="C99" s="43">
        <v>14</v>
      </c>
      <c r="D99" s="44">
        <v>0.9758</v>
      </c>
      <c r="E99" s="49">
        <f>B99/(24-1)</f>
        <v>0</v>
      </c>
      <c r="G99" s="53" t="s">
        <v>91</v>
      </c>
      <c r="H99" s="15">
        <v>0.92430000000000001</v>
      </c>
      <c r="I99" s="15"/>
      <c r="J99" s="15"/>
      <c r="K99" s="15"/>
      <c r="L99" s="15"/>
      <c r="M99" s="33"/>
    </row>
    <row r="100" spans="1:13" x14ac:dyDescent="0.2">
      <c r="A100" s="47" t="s">
        <v>21</v>
      </c>
      <c r="B100" s="43">
        <v>3</v>
      </c>
      <c r="C100" s="43">
        <v>13</v>
      </c>
      <c r="D100" s="44">
        <v>0.95909999999999995</v>
      </c>
      <c r="E100" s="49">
        <f>B100/(24-1)</f>
        <v>0.13043478260869565</v>
      </c>
      <c r="G100" s="53" t="s">
        <v>92</v>
      </c>
      <c r="H100" s="15"/>
      <c r="I100" s="15"/>
      <c r="J100" s="15"/>
      <c r="K100" s="15">
        <v>0.90190000000000003</v>
      </c>
      <c r="L100" s="15"/>
      <c r="M100" s="33"/>
    </row>
    <row r="101" spans="1:13" x14ac:dyDescent="0.2">
      <c r="A101" s="47" t="s">
        <v>21</v>
      </c>
      <c r="B101" s="43">
        <v>1</v>
      </c>
      <c r="C101" s="43">
        <v>3</v>
      </c>
      <c r="D101" s="44">
        <v>0.94040000000000001</v>
      </c>
      <c r="E101" s="41">
        <f>B101/(24-1)</f>
        <v>4.3478260869565216E-2</v>
      </c>
      <c r="G101" s="54" t="s">
        <v>93</v>
      </c>
      <c r="H101" s="16">
        <v>1</v>
      </c>
      <c r="I101" s="16"/>
      <c r="J101" s="16"/>
      <c r="K101" s="16"/>
      <c r="L101" s="16"/>
      <c r="M101" s="56"/>
    </row>
    <row r="102" spans="1:13" x14ac:dyDescent="0.2">
      <c r="A102" s="47" t="s">
        <v>23</v>
      </c>
      <c r="B102" s="43">
        <v>3</v>
      </c>
      <c r="C102" s="43">
        <v>5</v>
      </c>
      <c r="D102" s="44">
        <v>0.99319999999999997</v>
      </c>
      <c r="E102" s="49">
        <f>B102/(16-1)</f>
        <v>0.2</v>
      </c>
    </row>
    <row r="103" spans="1:13" x14ac:dyDescent="0.2">
      <c r="A103" s="47" t="s">
        <v>23</v>
      </c>
      <c r="B103" s="43">
        <v>1</v>
      </c>
      <c r="C103" s="43">
        <v>4</v>
      </c>
      <c r="D103" s="44">
        <v>0.97040000000000004</v>
      </c>
      <c r="E103" s="49">
        <f>B103/(16-1)</f>
        <v>6.6666666666666666E-2</v>
      </c>
    </row>
    <row r="104" spans="1:13" x14ac:dyDescent="0.2">
      <c r="A104" s="47" t="s">
        <v>23</v>
      </c>
      <c r="B104" s="43">
        <v>0</v>
      </c>
      <c r="C104" s="43">
        <v>3</v>
      </c>
      <c r="D104" s="44">
        <v>0.96560000000000001</v>
      </c>
      <c r="E104" s="49">
        <f>B104/(16-1)</f>
        <v>0</v>
      </c>
    </row>
    <row r="105" spans="1:13" x14ac:dyDescent="0.2">
      <c r="A105" s="47" t="s">
        <v>25</v>
      </c>
      <c r="B105" s="43">
        <v>1</v>
      </c>
      <c r="C105" s="43">
        <v>12</v>
      </c>
      <c r="D105" s="44">
        <v>0.9909</v>
      </c>
      <c r="E105" s="41">
        <f>B105/(32-1)</f>
        <v>3.2258064516129031E-2</v>
      </c>
    </row>
    <row r="106" spans="1:13" x14ac:dyDescent="0.2">
      <c r="A106" s="47" t="s">
        <v>25</v>
      </c>
      <c r="B106" s="43">
        <v>1</v>
      </c>
      <c r="C106" s="43">
        <v>29</v>
      </c>
      <c r="D106" s="44">
        <v>0.98399999999999999</v>
      </c>
      <c r="E106" s="41">
        <f>B106/(32-1)</f>
        <v>3.2258064516129031E-2</v>
      </c>
    </row>
    <row r="107" spans="1:13" x14ac:dyDescent="0.2">
      <c r="A107" s="47" t="s">
        <v>25</v>
      </c>
      <c r="B107" s="43">
        <v>1</v>
      </c>
      <c r="C107" s="43">
        <v>6</v>
      </c>
      <c r="D107" s="44">
        <v>0.98150000000000004</v>
      </c>
      <c r="E107" s="41">
        <f>B107/(32-1)</f>
        <v>3.2258064516129031E-2</v>
      </c>
    </row>
    <row r="108" spans="1:13" x14ac:dyDescent="0.2">
      <c r="A108" s="47" t="s">
        <v>25</v>
      </c>
      <c r="B108" s="43">
        <v>0</v>
      </c>
      <c r="C108" s="43">
        <v>21</v>
      </c>
      <c r="D108" s="44">
        <v>0.97260000000000002</v>
      </c>
      <c r="E108" s="41">
        <f>B108/(32-1)</f>
        <v>0</v>
      </c>
    </row>
    <row r="109" spans="1:13" x14ac:dyDescent="0.2">
      <c r="A109" s="47" t="s">
        <v>25</v>
      </c>
      <c r="B109" s="43">
        <v>1</v>
      </c>
      <c r="C109" s="43">
        <v>17</v>
      </c>
      <c r="D109" s="44">
        <v>0.97189999999999999</v>
      </c>
      <c r="E109" s="41">
        <f>B109/(32-1)</f>
        <v>3.2258064516129031E-2</v>
      </c>
    </row>
    <row r="110" spans="1:13" x14ac:dyDescent="0.2">
      <c r="A110" s="47" t="s">
        <v>25</v>
      </c>
      <c r="B110" s="43">
        <v>1</v>
      </c>
      <c r="C110" s="43">
        <v>25</v>
      </c>
      <c r="D110" s="44">
        <v>0.94830000000000003</v>
      </c>
      <c r="E110" s="41">
        <f>B110/(32-1)</f>
        <v>3.2258064516129031E-2</v>
      </c>
    </row>
    <row r="111" spans="1:13" x14ac:dyDescent="0.2">
      <c r="A111" s="47" t="s">
        <v>25</v>
      </c>
      <c r="B111" s="43">
        <v>1</v>
      </c>
      <c r="C111" s="43">
        <v>11</v>
      </c>
      <c r="D111" s="44">
        <v>0.92679999999999996</v>
      </c>
      <c r="E111" s="41">
        <f>B111/(32-1)</f>
        <v>3.2258064516129031E-2</v>
      </c>
    </row>
    <row r="112" spans="1:13" x14ac:dyDescent="0.2">
      <c r="A112" s="47" t="s">
        <v>25</v>
      </c>
      <c r="B112" s="43">
        <v>1</v>
      </c>
      <c r="C112" s="43">
        <v>22</v>
      </c>
      <c r="D112" s="44">
        <v>0.90580000000000005</v>
      </c>
      <c r="E112" s="41">
        <f>B112/(32-1)</f>
        <v>3.2258064516129031E-2</v>
      </c>
    </row>
    <row r="113" spans="1:5" x14ac:dyDescent="0.2">
      <c r="A113" s="47" t="s">
        <v>25</v>
      </c>
      <c r="B113" s="43">
        <v>29</v>
      </c>
      <c r="C113" s="43">
        <v>7</v>
      </c>
      <c r="D113" s="44">
        <v>0.90190000000000003</v>
      </c>
      <c r="E113" s="41">
        <f>B113/(32-1)</f>
        <v>0.93548387096774188</v>
      </c>
    </row>
    <row r="114" spans="1:5" x14ac:dyDescent="0.2">
      <c r="A114" s="47" t="s">
        <v>27</v>
      </c>
      <c r="B114" s="43">
        <v>2</v>
      </c>
      <c r="C114" s="43">
        <v>18</v>
      </c>
      <c r="D114" s="44">
        <v>0.98599999999999999</v>
      </c>
      <c r="E114" s="49">
        <f>B114/(32-1)</f>
        <v>6.4516129032258063E-2</v>
      </c>
    </row>
    <row r="115" spans="1:5" x14ac:dyDescent="0.2">
      <c r="A115" s="47" t="s">
        <v>27</v>
      </c>
      <c r="B115" s="43">
        <v>2</v>
      </c>
      <c r="C115" s="43">
        <v>8</v>
      </c>
      <c r="D115" s="44">
        <v>0.96930000000000005</v>
      </c>
      <c r="E115" s="49">
        <f>B115/(32-1)</f>
        <v>6.4516129032258063E-2</v>
      </c>
    </row>
    <row r="116" spans="1:5" x14ac:dyDescent="0.2">
      <c r="A116" s="47" t="s">
        <v>27</v>
      </c>
      <c r="B116" s="43">
        <v>2</v>
      </c>
      <c r="C116" s="43">
        <v>10</v>
      </c>
      <c r="D116" s="44">
        <v>0.96930000000000005</v>
      </c>
      <c r="E116" s="49">
        <f>B116/(32-1)</f>
        <v>6.4516129032258063E-2</v>
      </c>
    </row>
    <row r="117" spans="1:5" x14ac:dyDescent="0.2">
      <c r="A117" s="47" t="s">
        <v>27</v>
      </c>
      <c r="B117" s="43">
        <v>1</v>
      </c>
      <c r="C117" s="43">
        <v>6</v>
      </c>
      <c r="D117" s="44">
        <v>0.96009999999999995</v>
      </c>
      <c r="E117" s="49">
        <f>B117/(32-1)</f>
        <v>3.2258064516129031E-2</v>
      </c>
    </row>
    <row r="118" spans="1:5" x14ac:dyDescent="0.2">
      <c r="A118" s="47" t="s">
        <v>27</v>
      </c>
      <c r="B118" s="43">
        <v>3</v>
      </c>
      <c r="C118" s="43">
        <v>14</v>
      </c>
      <c r="D118" s="44">
        <v>0.94089999999999996</v>
      </c>
      <c r="E118" s="49">
        <f>B118/(32-1)</f>
        <v>9.6774193548387094E-2</v>
      </c>
    </row>
    <row r="119" spans="1:5" x14ac:dyDescent="0.2">
      <c r="A119" s="47" t="s">
        <v>27</v>
      </c>
      <c r="B119" s="43">
        <v>3</v>
      </c>
      <c r="C119" s="43">
        <v>23</v>
      </c>
      <c r="D119" s="44">
        <v>0.93689999999999996</v>
      </c>
      <c r="E119" s="49">
        <f>B119/(32-1)</f>
        <v>9.6774193548387094E-2</v>
      </c>
    </row>
    <row r="120" spans="1:5" x14ac:dyDescent="0.2">
      <c r="A120" s="47" t="s">
        <v>27</v>
      </c>
      <c r="B120" s="43">
        <v>1</v>
      </c>
      <c r="C120" s="43">
        <v>20</v>
      </c>
      <c r="D120" s="44">
        <v>0.91259999999999997</v>
      </c>
      <c r="E120" s="49">
        <f>B120/(32-1)</f>
        <v>3.2258064516129031E-2</v>
      </c>
    </row>
    <row r="121" spans="1:5" x14ac:dyDescent="0.2">
      <c r="A121" s="47" t="s">
        <v>27</v>
      </c>
      <c r="B121" s="43">
        <v>1</v>
      </c>
      <c r="C121" s="43">
        <v>8</v>
      </c>
      <c r="D121" s="44">
        <v>0.90639999999999998</v>
      </c>
      <c r="E121" s="49">
        <f>B121/(32-1)</f>
        <v>3.2258064516129031E-2</v>
      </c>
    </row>
    <row r="122" spans="1:5" x14ac:dyDescent="0.2">
      <c r="A122" s="47" t="s">
        <v>29</v>
      </c>
      <c r="B122" s="43">
        <v>1</v>
      </c>
      <c r="C122" s="43">
        <v>15</v>
      </c>
      <c r="D122" s="44">
        <v>0.99050000000000005</v>
      </c>
      <c r="E122" s="49">
        <f>B122/(36-1)</f>
        <v>2.8571428571428571E-2</v>
      </c>
    </row>
    <row r="123" spans="1:5" x14ac:dyDescent="0.2">
      <c r="A123" s="47" t="s">
        <v>29</v>
      </c>
      <c r="B123" s="43">
        <v>1</v>
      </c>
      <c r="C123" s="43">
        <v>26</v>
      </c>
      <c r="D123" s="44">
        <v>0.96799999999999997</v>
      </c>
      <c r="E123" s="49">
        <f>B123/(36-1)</f>
        <v>2.8571428571428571E-2</v>
      </c>
    </row>
    <row r="124" spans="1:5" x14ac:dyDescent="0.2">
      <c r="A124" s="47" t="s">
        <v>29</v>
      </c>
      <c r="B124" s="43">
        <v>2</v>
      </c>
      <c r="C124" s="43">
        <v>22</v>
      </c>
      <c r="D124" s="44">
        <v>0.96750000000000003</v>
      </c>
      <c r="E124" s="41">
        <f>B124/(36-1)</f>
        <v>5.7142857142857141E-2</v>
      </c>
    </row>
    <row r="125" spans="1:5" x14ac:dyDescent="0.2">
      <c r="A125" s="47" t="s">
        <v>29</v>
      </c>
      <c r="B125" s="43">
        <v>2</v>
      </c>
      <c r="C125" s="43">
        <v>32</v>
      </c>
      <c r="D125" s="44">
        <v>0.9486</v>
      </c>
      <c r="E125" s="41">
        <f>B125/(36-1)</f>
        <v>5.7142857142857141E-2</v>
      </c>
    </row>
    <row r="126" spans="1:5" x14ac:dyDescent="0.2">
      <c r="A126" s="47" t="s">
        <v>29</v>
      </c>
      <c r="B126" s="43">
        <v>3</v>
      </c>
      <c r="C126" s="43">
        <v>30</v>
      </c>
      <c r="D126" s="44">
        <v>0.90910000000000002</v>
      </c>
      <c r="E126" s="49">
        <f>B126/(36-1)</f>
        <v>8.5714285714285715E-2</v>
      </c>
    </row>
    <row r="127" spans="1:5" x14ac:dyDescent="0.2">
      <c r="A127" s="47" t="s">
        <v>29</v>
      </c>
      <c r="B127" s="43">
        <v>3</v>
      </c>
      <c r="C127" s="43">
        <v>7</v>
      </c>
      <c r="D127" s="44">
        <v>0.90790000000000004</v>
      </c>
      <c r="E127" s="49">
        <f>B127/(36-1)</f>
        <v>8.5714285714285715E-2</v>
      </c>
    </row>
    <row r="128" spans="1:5" x14ac:dyDescent="0.2">
      <c r="A128" s="48" t="s">
        <v>29</v>
      </c>
      <c r="B128" s="45">
        <v>2</v>
      </c>
      <c r="C128" s="45">
        <v>7</v>
      </c>
      <c r="D128" s="46">
        <v>0.90780000000000005</v>
      </c>
      <c r="E128" s="50">
        <f>B128/(36-1)</f>
        <v>5.7142857142857141E-2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DEF3-531B-C842-B63B-24152E4F10B3}">
  <dimension ref="A1:L54"/>
  <sheetViews>
    <sheetView workbookViewId="0">
      <pane ySplit="2" topLeftCell="A3" activePane="bottomLeft" state="frozen"/>
      <selection pane="bottomLeft" activeCell="D29" sqref="D29"/>
    </sheetView>
  </sheetViews>
  <sheetFormatPr baseColWidth="10" defaultRowHeight="16" x14ac:dyDescent="0.2"/>
  <cols>
    <col min="1" max="1" width="20" customWidth="1"/>
    <col min="2" max="5" width="21.6640625" customWidth="1"/>
    <col min="6" max="6" width="28.33203125" customWidth="1"/>
    <col min="7" max="12" width="16.6640625" customWidth="1"/>
  </cols>
  <sheetData>
    <row r="1" spans="1:12" ht="19" x14ac:dyDescent="0.25">
      <c r="A1" s="5" t="s">
        <v>100</v>
      </c>
    </row>
    <row r="2" spans="1:12" x14ac:dyDescent="0.2">
      <c r="A2" s="59" t="s">
        <v>101</v>
      </c>
    </row>
    <row r="4" spans="1:12" x14ac:dyDescent="0.2">
      <c r="A4" s="6" t="s">
        <v>102</v>
      </c>
    </row>
    <row r="5" spans="1:12" x14ac:dyDescent="0.2">
      <c r="A5" s="52" t="s">
        <v>8</v>
      </c>
      <c r="B5" s="20" t="s">
        <v>10</v>
      </c>
      <c r="C5" s="20" t="s">
        <v>11</v>
      </c>
      <c r="D5" s="20" t="s">
        <v>103</v>
      </c>
      <c r="E5" s="20" t="s">
        <v>104</v>
      </c>
      <c r="F5" s="71" t="s">
        <v>105</v>
      </c>
      <c r="G5" s="71" t="s">
        <v>106</v>
      </c>
      <c r="H5" s="20" t="s">
        <v>107</v>
      </c>
      <c r="I5" s="20" t="s">
        <v>108</v>
      </c>
      <c r="J5" s="20" t="s">
        <v>109</v>
      </c>
      <c r="K5" s="20" t="s">
        <v>110</v>
      </c>
      <c r="L5" s="55" t="s">
        <v>111</v>
      </c>
    </row>
    <row r="6" spans="1:12" x14ac:dyDescent="0.2">
      <c r="A6" s="22" t="s">
        <v>18</v>
      </c>
      <c r="B6" s="10">
        <v>12</v>
      </c>
      <c r="C6" s="10">
        <v>12</v>
      </c>
      <c r="D6" s="10">
        <v>46</v>
      </c>
      <c r="E6" s="10">
        <v>10</v>
      </c>
      <c r="F6" s="43">
        <v>10</v>
      </c>
      <c r="G6" s="61" t="str">
        <f>IF(E6=F6,"✓","Δ="&amp;(E6-F6))</f>
        <v>✓</v>
      </c>
      <c r="H6" s="10">
        <v>7</v>
      </c>
      <c r="I6" s="10" t="s">
        <v>112</v>
      </c>
      <c r="J6" s="62">
        <f>11/(B6-1)</f>
        <v>1</v>
      </c>
      <c r="K6" s="63">
        <v>1</v>
      </c>
      <c r="L6" s="73" t="s">
        <v>113</v>
      </c>
    </row>
    <row r="7" spans="1:12" x14ac:dyDescent="0.2">
      <c r="A7" s="23" t="s">
        <v>20</v>
      </c>
      <c r="B7" s="13">
        <v>24</v>
      </c>
      <c r="C7" s="13">
        <v>16</v>
      </c>
      <c r="D7" s="13">
        <v>71</v>
      </c>
      <c r="E7" s="13">
        <v>22</v>
      </c>
      <c r="F7" s="43">
        <v>22</v>
      </c>
      <c r="G7" s="61" t="str">
        <f>IF(E7=F7,"✓","Δ="&amp;(E7-F7))</f>
        <v>✓</v>
      </c>
      <c r="H7" s="13">
        <v>16</v>
      </c>
      <c r="I7" s="13" t="s">
        <v>114</v>
      </c>
      <c r="J7" s="64">
        <f>9/(B7-1)</f>
        <v>0.39130434782608697</v>
      </c>
      <c r="K7" s="65">
        <v>0.9758</v>
      </c>
      <c r="L7" s="74" t="s">
        <v>113</v>
      </c>
    </row>
    <row r="8" spans="1:12" x14ac:dyDescent="0.2">
      <c r="A8" s="22" t="s">
        <v>22</v>
      </c>
      <c r="B8" s="10">
        <v>16</v>
      </c>
      <c r="C8" s="10">
        <v>8</v>
      </c>
      <c r="D8" s="10">
        <v>28</v>
      </c>
      <c r="E8" s="10">
        <v>11</v>
      </c>
      <c r="F8" s="43">
        <v>11</v>
      </c>
      <c r="G8" s="61" t="str">
        <f>IF(E8=F8,"✓","Δ="&amp;(E8-F8))</f>
        <v>✓</v>
      </c>
      <c r="H8" s="10">
        <v>10</v>
      </c>
      <c r="I8" s="10" t="s">
        <v>115</v>
      </c>
      <c r="J8" s="62">
        <f>6/(B8-1)</f>
        <v>0.4</v>
      </c>
      <c r="K8" s="63">
        <v>0.99319999999999997</v>
      </c>
      <c r="L8" s="73" t="s">
        <v>113</v>
      </c>
    </row>
    <row r="9" spans="1:12" x14ac:dyDescent="0.2">
      <c r="A9" s="23" t="s">
        <v>24</v>
      </c>
      <c r="B9" s="13">
        <v>32</v>
      </c>
      <c r="C9" s="13">
        <v>32</v>
      </c>
      <c r="D9" s="13">
        <v>101</v>
      </c>
      <c r="E9" s="13">
        <v>25</v>
      </c>
      <c r="F9" s="43">
        <v>25</v>
      </c>
      <c r="G9" s="61" t="str">
        <f>IF(E9=F9,"✓","Δ="&amp;(E9-F9))</f>
        <v>✓</v>
      </c>
      <c r="H9" s="13">
        <v>20</v>
      </c>
      <c r="I9" s="13" t="s">
        <v>116</v>
      </c>
      <c r="J9" s="64">
        <f>29/(B9-1)</f>
        <v>0.93548387096774188</v>
      </c>
      <c r="K9" s="65">
        <v>0.9909</v>
      </c>
      <c r="L9" s="74" t="s">
        <v>113</v>
      </c>
    </row>
    <row r="10" spans="1:12" x14ac:dyDescent="0.2">
      <c r="A10" s="22" t="s">
        <v>26</v>
      </c>
      <c r="B10" s="10">
        <v>32</v>
      </c>
      <c r="C10" s="10">
        <v>32</v>
      </c>
      <c r="D10" s="10">
        <v>123</v>
      </c>
      <c r="E10" s="10">
        <v>37</v>
      </c>
      <c r="F10" s="43">
        <v>37</v>
      </c>
      <c r="G10" s="61" t="str">
        <f>IF(E10=F10,"✓","Δ="&amp;(E10-F10))</f>
        <v>✓</v>
      </c>
      <c r="H10" s="10">
        <v>28</v>
      </c>
      <c r="I10" s="10" t="s">
        <v>117</v>
      </c>
      <c r="J10" s="62">
        <f>30/(B10-1)</f>
        <v>0.967741935483871</v>
      </c>
      <c r="K10" s="63">
        <v>0.98599999999999999</v>
      </c>
      <c r="L10" s="73" t="s">
        <v>113</v>
      </c>
    </row>
    <row r="11" spans="1:12" x14ac:dyDescent="0.2">
      <c r="A11" s="72" t="s">
        <v>28</v>
      </c>
      <c r="B11" s="66">
        <v>36</v>
      </c>
      <c r="C11" s="66">
        <v>40</v>
      </c>
      <c r="D11" s="66">
        <v>119</v>
      </c>
      <c r="E11" s="66">
        <v>36</v>
      </c>
      <c r="F11" s="67" t="s">
        <v>118</v>
      </c>
      <c r="G11" s="68" t="s">
        <v>119</v>
      </c>
      <c r="H11" s="66">
        <v>24</v>
      </c>
      <c r="I11" s="66" t="s">
        <v>120</v>
      </c>
      <c r="J11" s="69">
        <f>34/(B11-1)</f>
        <v>0.97142857142857142</v>
      </c>
      <c r="K11" s="70">
        <v>0.99050000000000005</v>
      </c>
      <c r="L11" s="75" t="s">
        <v>121</v>
      </c>
    </row>
    <row r="13" spans="1:12" x14ac:dyDescent="0.2">
      <c r="A13" s="6" t="s">
        <v>122</v>
      </c>
    </row>
    <row r="14" spans="1:12" ht="34" x14ac:dyDescent="0.2">
      <c r="A14" s="115" t="s">
        <v>8</v>
      </c>
      <c r="B14" s="97" t="s">
        <v>109</v>
      </c>
      <c r="C14" s="97" t="s">
        <v>123</v>
      </c>
      <c r="D14" s="97" t="s">
        <v>124</v>
      </c>
      <c r="E14" s="97" t="s">
        <v>125</v>
      </c>
      <c r="F14" s="98" t="s">
        <v>126</v>
      </c>
    </row>
    <row r="15" spans="1:12" ht="34" x14ac:dyDescent="0.2">
      <c r="A15" s="116" t="s">
        <v>19</v>
      </c>
      <c r="B15" s="117">
        <f>J6</f>
        <v>1</v>
      </c>
      <c r="C15" s="118" t="s">
        <v>127</v>
      </c>
      <c r="D15" s="118" t="s">
        <v>128</v>
      </c>
      <c r="E15" s="119" t="s">
        <v>129</v>
      </c>
      <c r="F15" s="120" t="s">
        <v>130</v>
      </c>
    </row>
    <row r="16" spans="1:12" ht="34" x14ac:dyDescent="0.2">
      <c r="A16" s="116" t="s">
        <v>21</v>
      </c>
      <c r="B16" s="117">
        <f>J7</f>
        <v>0.39130434782608697</v>
      </c>
      <c r="C16" s="118" t="s">
        <v>127</v>
      </c>
      <c r="D16" s="118" t="s">
        <v>128</v>
      </c>
      <c r="E16" s="118" t="s">
        <v>131</v>
      </c>
      <c r="F16" s="121" t="s">
        <v>132</v>
      </c>
    </row>
    <row r="17" spans="1:6" ht="51" x14ac:dyDescent="0.2">
      <c r="A17" s="122" t="s">
        <v>23</v>
      </c>
      <c r="B17" s="123">
        <f>J8</f>
        <v>0.4</v>
      </c>
      <c r="C17" s="124" t="s">
        <v>133</v>
      </c>
      <c r="D17" s="125" t="s">
        <v>134</v>
      </c>
      <c r="E17" s="126" t="s">
        <v>135</v>
      </c>
      <c r="F17" s="127" t="s">
        <v>136</v>
      </c>
    </row>
    <row r="18" spans="1:6" ht="34" x14ac:dyDescent="0.2">
      <c r="A18" s="128" t="s">
        <v>25</v>
      </c>
      <c r="B18" s="129">
        <f>J9</f>
        <v>0.93548387096774188</v>
      </c>
      <c r="C18" s="130" t="s">
        <v>137</v>
      </c>
      <c r="D18" s="130" t="s">
        <v>138</v>
      </c>
      <c r="E18" s="130" t="s">
        <v>139</v>
      </c>
      <c r="F18" s="131" t="s">
        <v>140</v>
      </c>
    </row>
    <row r="19" spans="1:6" ht="34" x14ac:dyDescent="0.2">
      <c r="A19" s="128" t="s">
        <v>27</v>
      </c>
      <c r="B19" s="129">
        <f>J10</f>
        <v>0.967741935483871</v>
      </c>
      <c r="C19" s="132" t="s">
        <v>141</v>
      </c>
      <c r="D19" s="130" t="s">
        <v>142</v>
      </c>
      <c r="E19" s="130" t="s">
        <v>143</v>
      </c>
      <c r="F19" s="133" t="s">
        <v>144</v>
      </c>
    </row>
    <row r="20" spans="1:6" ht="51" x14ac:dyDescent="0.2">
      <c r="A20" s="134" t="s">
        <v>29</v>
      </c>
      <c r="B20" s="135">
        <f>J11</f>
        <v>0.97142857142857142</v>
      </c>
      <c r="C20" s="136" t="s">
        <v>145</v>
      </c>
      <c r="D20" s="136" t="s">
        <v>145</v>
      </c>
      <c r="E20" s="137" t="s">
        <v>146</v>
      </c>
      <c r="F20" s="114" t="s">
        <v>147</v>
      </c>
    </row>
    <row r="22" spans="1:6" x14ac:dyDescent="0.2">
      <c r="A22" s="6" t="s">
        <v>148</v>
      </c>
    </row>
    <row r="23" spans="1:6" x14ac:dyDescent="0.2">
      <c r="A23" s="52" t="s">
        <v>8</v>
      </c>
      <c r="B23" s="20" t="s">
        <v>109</v>
      </c>
      <c r="C23" s="20" t="s">
        <v>149</v>
      </c>
      <c r="D23" s="55" t="s">
        <v>108</v>
      </c>
    </row>
    <row r="24" spans="1:6" x14ac:dyDescent="0.2">
      <c r="A24" s="78" t="s">
        <v>19</v>
      </c>
      <c r="B24" s="64">
        <f>J6</f>
        <v>1</v>
      </c>
      <c r="C24" s="13">
        <f>E6</f>
        <v>10</v>
      </c>
      <c r="D24" s="28">
        <v>11</v>
      </c>
    </row>
    <row r="25" spans="1:6" x14ac:dyDescent="0.2">
      <c r="A25" s="78" t="s">
        <v>21</v>
      </c>
      <c r="B25" s="64">
        <f>J7</f>
        <v>0.39130434782608697</v>
      </c>
      <c r="C25" s="13">
        <f>E7</f>
        <v>22</v>
      </c>
      <c r="D25" s="28">
        <v>9</v>
      </c>
    </row>
    <row r="26" spans="1:6" x14ac:dyDescent="0.2">
      <c r="A26" s="78" t="s">
        <v>23</v>
      </c>
      <c r="B26" s="64">
        <f>J8</f>
        <v>0.4</v>
      </c>
      <c r="C26" s="13">
        <f>E8</f>
        <v>11</v>
      </c>
      <c r="D26" s="28">
        <v>6</v>
      </c>
    </row>
    <row r="27" spans="1:6" x14ac:dyDescent="0.2">
      <c r="A27" s="78" t="s">
        <v>25</v>
      </c>
      <c r="B27" s="64">
        <f>J9</f>
        <v>0.93548387096774188</v>
      </c>
      <c r="C27" s="13">
        <f>E9</f>
        <v>25</v>
      </c>
      <c r="D27" s="28">
        <v>29</v>
      </c>
    </row>
    <row r="28" spans="1:6" x14ac:dyDescent="0.2">
      <c r="A28" s="78" t="s">
        <v>27</v>
      </c>
      <c r="B28" s="64">
        <f>J10</f>
        <v>0.967741935483871</v>
      </c>
      <c r="C28" s="13">
        <f>E10</f>
        <v>37</v>
      </c>
      <c r="D28" s="28">
        <v>30</v>
      </c>
    </row>
    <row r="29" spans="1:6" x14ac:dyDescent="0.2">
      <c r="A29" s="79" t="s">
        <v>29</v>
      </c>
      <c r="B29" s="76">
        <f>J11</f>
        <v>0.97142857142857142</v>
      </c>
      <c r="C29" s="77">
        <f>E11</f>
        <v>36</v>
      </c>
      <c r="D29" s="80">
        <v>34</v>
      </c>
    </row>
    <row r="31" spans="1:6" x14ac:dyDescent="0.2">
      <c r="A31" s="6" t="s">
        <v>150</v>
      </c>
    </row>
    <row r="32" spans="1:6" x14ac:dyDescent="0.2">
      <c r="A32" s="60" t="s">
        <v>151</v>
      </c>
    </row>
    <row r="34" spans="1:5" x14ac:dyDescent="0.2">
      <c r="A34" s="52" t="s">
        <v>82</v>
      </c>
      <c r="B34" s="20" t="s">
        <v>152</v>
      </c>
      <c r="C34" s="20" t="s">
        <v>84</v>
      </c>
      <c r="D34" s="20" t="s">
        <v>153</v>
      </c>
      <c r="E34" s="55" t="s">
        <v>154</v>
      </c>
    </row>
    <row r="35" spans="1:5" x14ac:dyDescent="0.2">
      <c r="A35" s="88">
        <v>0</v>
      </c>
      <c r="B35" s="81" t="s">
        <v>155</v>
      </c>
      <c r="C35" s="81" t="s">
        <v>156</v>
      </c>
      <c r="D35" s="81" t="s">
        <v>157</v>
      </c>
      <c r="E35" s="92" t="s">
        <v>107</v>
      </c>
    </row>
    <row r="36" spans="1:5" x14ac:dyDescent="0.2">
      <c r="A36" s="88">
        <v>1</v>
      </c>
      <c r="B36" s="81" t="s">
        <v>158</v>
      </c>
      <c r="C36" s="82" t="s">
        <v>159</v>
      </c>
      <c r="D36" s="81" t="s">
        <v>160</v>
      </c>
      <c r="E36" s="92" t="s">
        <v>107</v>
      </c>
    </row>
    <row r="37" spans="1:5" x14ac:dyDescent="0.2">
      <c r="A37" s="88">
        <v>2</v>
      </c>
      <c r="B37" s="81" t="s">
        <v>161</v>
      </c>
      <c r="C37" s="82" t="s">
        <v>162</v>
      </c>
      <c r="D37" s="81" t="s">
        <v>160</v>
      </c>
      <c r="E37" s="92" t="s">
        <v>107</v>
      </c>
    </row>
    <row r="38" spans="1:5" x14ac:dyDescent="0.2">
      <c r="A38" s="88">
        <v>3</v>
      </c>
      <c r="B38" s="81" t="s">
        <v>163</v>
      </c>
      <c r="C38" s="81" t="s">
        <v>164</v>
      </c>
      <c r="D38" s="81" t="s">
        <v>160</v>
      </c>
      <c r="E38" s="92" t="s">
        <v>107</v>
      </c>
    </row>
    <row r="39" spans="1:5" x14ac:dyDescent="0.2">
      <c r="A39" s="89"/>
      <c r="B39" s="83" t="s">
        <v>165</v>
      </c>
      <c r="C39" s="84"/>
      <c r="D39" s="84"/>
      <c r="E39" s="93"/>
    </row>
    <row r="40" spans="1:5" x14ac:dyDescent="0.2">
      <c r="A40" s="88">
        <v>5</v>
      </c>
      <c r="B40" s="81" t="s">
        <v>166</v>
      </c>
      <c r="C40" s="65">
        <v>0.56759999999999999</v>
      </c>
      <c r="D40" s="81" t="s">
        <v>157</v>
      </c>
      <c r="E40" s="92" t="s">
        <v>167</v>
      </c>
    </row>
    <row r="41" spans="1:5" x14ac:dyDescent="0.2">
      <c r="A41" s="53" t="s">
        <v>168</v>
      </c>
      <c r="B41" s="81" t="s">
        <v>169</v>
      </c>
      <c r="C41" s="13" t="s">
        <v>170</v>
      </c>
      <c r="D41" s="81" t="s">
        <v>157</v>
      </c>
      <c r="E41" s="92" t="s">
        <v>171</v>
      </c>
    </row>
    <row r="42" spans="1:5" x14ac:dyDescent="0.2">
      <c r="A42" s="89"/>
      <c r="B42" s="83" t="s">
        <v>172</v>
      </c>
      <c r="C42" s="84"/>
      <c r="D42" s="84"/>
      <c r="E42" s="93"/>
    </row>
    <row r="43" spans="1:5" x14ac:dyDescent="0.2">
      <c r="A43" s="90">
        <v>30</v>
      </c>
      <c r="B43" s="85" t="s">
        <v>173</v>
      </c>
      <c r="C43" s="86">
        <v>0.52170000000000005</v>
      </c>
      <c r="D43" s="85" t="s">
        <v>157</v>
      </c>
      <c r="E43" s="94" t="s">
        <v>174</v>
      </c>
    </row>
    <row r="44" spans="1:5" x14ac:dyDescent="0.2">
      <c r="A44" s="90">
        <v>33</v>
      </c>
      <c r="B44" s="85" t="s">
        <v>175</v>
      </c>
      <c r="C44" s="87" t="s">
        <v>176</v>
      </c>
      <c r="D44" s="85" t="s">
        <v>160</v>
      </c>
      <c r="E44" s="94" t="s">
        <v>177</v>
      </c>
    </row>
    <row r="45" spans="1:5" x14ac:dyDescent="0.2">
      <c r="A45" s="91">
        <v>34</v>
      </c>
      <c r="B45" s="66" t="s">
        <v>178</v>
      </c>
      <c r="C45" s="70">
        <v>0.53939999999999999</v>
      </c>
      <c r="D45" s="66" t="s">
        <v>157</v>
      </c>
      <c r="E45" s="95" t="s">
        <v>179</v>
      </c>
    </row>
    <row r="47" spans="1:5" x14ac:dyDescent="0.2">
      <c r="A47" s="6" t="s">
        <v>180</v>
      </c>
    </row>
    <row r="48" spans="1:5" ht="17" x14ac:dyDescent="0.2">
      <c r="A48" s="96" t="s">
        <v>181</v>
      </c>
      <c r="B48" s="97" t="s">
        <v>182</v>
      </c>
      <c r="C48" s="97" t="s">
        <v>183</v>
      </c>
      <c r="D48" s="98" t="s">
        <v>184</v>
      </c>
    </row>
    <row r="49" spans="1:4" ht="51" x14ac:dyDescent="0.2">
      <c r="A49" s="99" t="s">
        <v>185</v>
      </c>
      <c r="B49" s="100" t="s">
        <v>186</v>
      </c>
      <c r="C49" s="101" t="s">
        <v>187</v>
      </c>
      <c r="D49" s="102" t="s">
        <v>188</v>
      </c>
    </row>
    <row r="50" spans="1:4" ht="51" x14ac:dyDescent="0.2">
      <c r="A50" s="103" t="s">
        <v>189</v>
      </c>
      <c r="B50" s="104" t="s">
        <v>190</v>
      </c>
      <c r="C50" s="101" t="s">
        <v>187</v>
      </c>
      <c r="D50" s="105" t="s">
        <v>191</v>
      </c>
    </row>
    <row r="51" spans="1:4" ht="68" x14ac:dyDescent="0.2">
      <c r="A51" s="99" t="s">
        <v>192</v>
      </c>
      <c r="B51" s="100" t="s">
        <v>193</v>
      </c>
      <c r="C51" s="106" t="s">
        <v>194</v>
      </c>
      <c r="D51" s="102" t="s">
        <v>195</v>
      </c>
    </row>
    <row r="52" spans="1:4" ht="68" x14ac:dyDescent="0.2">
      <c r="A52" s="103" t="s">
        <v>196</v>
      </c>
      <c r="B52" s="104" t="s">
        <v>197</v>
      </c>
      <c r="C52" s="106" t="s">
        <v>198</v>
      </c>
      <c r="D52" s="105" t="s">
        <v>199</v>
      </c>
    </row>
    <row r="53" spans="1:4" ht="68" x14ac:dyDescent="0.2">
      <c r="A53" s="107" t="s">
        <v>200</v>
      </c>
      <c r="B53" s="108" t="s">
        <v>201</v>
      </c>
      <c r="C53" s="109" t="s">
        <v>202</v>
      </c>
      <c r="D53" s="110" t="s">
        <v>203</v>
      </c>
    </row>
    <row r="54" spans="1:4" ht="68" x14ac:dyDescent="0.2">
      <c r="A54" s="111" t="s">
        <v>204</v>
      </c>
      <c r="B54" s="112" t="s">
        <v>205</v>
      </c>
      <c r="C54" s="113" t="s">
        <v>202</v>
      </c>
      <c r="D54" s="114" t="s">
        <v>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Claude Log</vt:lpstr>
      <vt:lpstr>160m_attention_binding</vt:lpstr>
      <vt:lpstr>410m_attention_binding</vt:lpstr>
      <vt:lpstr>1b_attention_binding</vt:lpstr>
      <vt:lpstr>2.8b_attention_binding</vt:lpstr>
      <vt:lpstr>6.9b_attention_binding</vt:lpstr>
      <vt:lpstr>12b_attention_binding</vt:lpstr>
      <vt:lpstr>Cross-Model Summary</vt:lpstr>
      <vt:lpstr>Paper Alignment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Salas</dc:creator>
  <cp:lastModifiedBy>Trisha Salas</cp:lastModifiedBy>
  <dcterms:created xsi:type="dcterms:W3CDTF">2026-03-15T14:04:38Z</dcterms:created>
  <dcterms:modified xsi:type="dcterms:W3CDTF">2026-03-15T18:40:44Z</dcterms:modified>
</cp:coreProperties>
</file>